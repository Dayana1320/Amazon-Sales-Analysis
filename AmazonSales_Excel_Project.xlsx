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velagada Dayana\Downloads\"/>
    </mc:Choice>
  </mc:AlternateContent>
  <xr:revisionPtr revIDLastSave="0" documentId="13_ncr:1_{FDFEAEFC-E475-4011-85C3-9D43C96BB954}" xr6:coauthVersionLast="47" xr6:coauthVersionMax="47" xr10:uidLastSave="{00000000-0000-0000-0000-000000000000}"/>
  <bookViews>
    <workbookView xWindow="-108" yWindow="-108" windowWidth="23256" windowHeight="12456" activeTab="3" xr2:uid="{00000000-000D-0000-FFFF-FFFF00000000}"/>
  </bookViews>
  <sheets>
    <sheet name="Raw_Data" sheetId="5" r:id="rId1"/>
    <sheet name="Cleaned_Data" sheetId="1" r:id="rId2"/>
    <sheet name="PivotTable" sheetId="4" r:id="rId3"/>
    <sheet name="DashBoard" sheetId="12" r:id="rId4"/>
  </sheets>
  <definedNames>
    <definedName name="Slicer_Category">#N/A</definedName>
    <definedName name="Slicer_Customer_Location">#N/A</definedName>
    <definedName name="Slicer_Month">#N/A</definedName>
    <definedName name="Slicer_Status">#N/A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 i="1"/>
</calcChain>
</file>

<file path=xl/sharedStrings.xml><?xml version="1.0" encoding="utf-8"?>
<sst xmlns="http://schemas.openxmlformats.org/spreadsheetml/2006/main" count="3753" uniqueCount="352">
  <si>
    <t>Order ID</t>
  </si>
  <si>
    <t>Date</t>
  </si>
  <si>
    <t>Product</t>
  </si>
  <si>
    <t>Category</t>
  </si>
  <si>
    <t>Price</t>
  </si>
  <si>
    <t>Quantity</t>
  </si>
  <si>
    <t>Total Sales</t>
  </si>
  <si>
    <t>Customer Name</t>
  </si>
  <si>
    <t>Customer Location</t>
  </si>
  <si>
    <t>Payment Method</t>
  </si>
  <si>
    <t>Status</t>
  </si>
  <si>
    <t>ORD0001</t>
  </si>
  <si>
    <t>14-03-2025</t>
  </si>
  <si>
    <t>Running Shoes</t>
  </si>
  <si>
    <t>Footwear</t>
  </si>
  <si>
    <t>Emma Clark</t>
  </si>
  <si>
    <t>New York</t>
  </si>
  <si>
    <t>Debit Card</t>
  </si>
  <si>
    <t>Cancelled</t>
  </si>
  <si>
    <t>ORD0002</t>
  </si>
  <si>
    <t>20-03-2025</t>
  </si>
  <si>
    <t>Headphones</t>
  </si>
  <si>
    <t>Electronics</t>
  </si>
  <si>
    <t>Emily Johnson</t>
  </si>
  <si>
    <t>San Francisco</t>
  </si>
  <si>
    <t>Pending</t>
  </si>
  <si>
    <t>ORD0003</t>
  </si>
  <si>
    <t>15-02-2025</t>
  </si>
  <si>
    <t>John Doe</t>
  </si>
  <si>
    <t>Denver</t>
  </si>
  <si>
    <t>Amazon Pay</t>
  </si>
  <si>
    <t>ORD0004</t>
  </si>
  <si>
    <t>19-02-2025</t>
  </si>
  <si>
    <t>Olivia Wilson</t>
  </si>
  <si>
    <t>Dallas</t>
  </si>
  <si>
    <t>Credit Card</t>
  </si>
  <si>
    <t>ORD0005</t>
  </si>
  <si>
    <t>Smartwatch</t>
  </si>
  <si>
    <t>ORD0006</t>
  </si>
  <si>
    <t>T-Shirt</t>
  </si>
  <si>
    <t>Clothing</t>
  </si>
  <si>
    <t>ORD0007</t>
  </si>
  <si>
    <t>18-03-2025</t>
  </si>
  <si>
    <t>Houston</t>
  </si>
  <si>
    <t>PayPal</t>
  </si>
  <si>
    <t>Completed</t>
  </si>
  <si>
    <t>ORD0008</t>
  </si>
  <si>
    <t>Smartphone</t>
  </si>
  <si>
    <t>Sophia Miller</t>
  </si>
  <si>
    <t>Miami</t>
  </si>
  <si>
    <t>ORD0009</t>
  </si>
  <si>
    <t>Boston</t>
  </si>
  <si>
    <t>ORD0010</t>
  </si>
  <si>
    <t>ORD0011</t>
  </si>
  <si>
    <t>17-02-2025</t>
  </si>
  <si>
    <t>Book</t>
  </si>
  <si>
    <t>Books</t>
  </si>
  <si>
    <t>David Lee</t>
  </si>
  <si>
    <t>ORD0012</t>
  </si>
  <si>
    <t>13-03-2025</t>
  </si>
  <si>
    <t>Jeans</t>
  </si>
  <si>
    <t>Michael Brown</t>
  </si>
  <si>
    <t>ORD0013</t>
  </si>
  <si>
    <t>Laptop</t>
  </si>
  <si>
    <t>Daniel Harris</t>
  </si>
  <si>
    <t>Gift Card</t>
  </si>
  <si>
    <t>ORD0014</t>
  </si>
  <si>
    <t>Washing Machine</t>
  </si>
  <si>
    <t>Home Appliances</t>
  </si>
  <si>
    <t>ORD0015</t>
  </si>
  <si>
    <t>20-02-2025</t>
  </si>
  <si>
    <t>Seattle</t>
  </si>
  <si>
    <t>ORD0016</t>
  </si>
  <si>
    <t>26-02-2025</t>
  </si>
  <si>
    <t>Refrigerator</t>
  </si>
  <si>
    <t>ORD0017</t>
  </si>
  <si>
    <t>ORD0018</t>
  </si>
  <si>
    <t>Los Angeles</t>
  </si>
  <si>
    <t>ORD0019</t>
  </si>
  <si>
    <t>22-03-2025</t>
  </si>
  <si>
    <t>ORD0020</t>
  </si>
  <si>
    <t>ORD0021</t>
  </si>
  <si>
    <t>Chris White</t>
  </si>
  <si>
    <t>ORD0022</t>
  </si>
  <si>
    <t>ORD0023</t>
  </si>
  <si>
    <t>23-02-2025</t>
  </si>
  <si>
    <t>ORD0024</t>
  </si>
  <si>
    <t>24-03-2025</t>
  </si>
  <si>
    <t>ORD0025</t>
  </si>
  <si>
    <t>ORD0026</t>
  </si>
  <si>
    <t>14-02-2025</t>
  </si>
  <si>
    <t>ORD0027</t>
  </si>
  <si>
    <t>ORD0028</t>
  </si>
  <si>
    <t>Jane Smith</t>
  </si>
  <si>
    <t>Chicago</t>
  </si>
  <si>
    <t>ORD0029</t>
  </si>
  <si>
    <t>ORD0030</t>
  </si>
  <si>
    <t>ORD0031</t>
  </si>
  <si>
    <t>ORD0032</t>
  </si>
  <si>
    <t>ORD0033</t>
  </si>
  <si>
    <t>ORD0034</t>
  </si>
  <si>
    <t>ORD0035</t>
  </si>
  <si>
    <t>ORD0036</t>
  </si>
  <si>
    <t>ORD0037</t>
  </si>
  <si>
    <t>16-02-2025</t>
  </si>
  <si>
    <t>ORD0038</t>
  </si>
  <si>
    <t>26-03-2025</t>
  </si>
  <si>
    <t>ORD0039</t>
  </si>
  <si>
    <t>ORD0040</t>
  </si>
  <si>
    <t>ORD0041</t>
  </si>
  <si>
    <t>ORD0042</t>
  </si>
  <si>
    <t>17-03-2025</t>
  </si>
  <si>
    <t>ORD0043</t>
  </si>
  <si>
    <t>ORD0044</t>
  </si>
  <si>
    <t>ORD0045</t>
  </si>
  <si>
    <t>15-03-2025</t>
  </si>
  <si>
    <t>ORD0046</t>
  </si>
  <si>
    <t>ORD0047</t>
  </si>
  <si>
    <t>ORD0048</t>
  </si>
  <si>
    <t>ORD0049</t>
  </si>
  <si>
    <t>18-02-2025</t>
  </si>
  <si>
    <t>ORD0050</t>
  </si>
  <si>
    <t>ORD0051</t>
  </si>
  <si>
    <t>ORD0052</t>
  </si>
  <si>
    <t>24-02-2025</t>
  </si>
  <si>
    <t>ORD0053</t>
  </si>
  <si>
    <t>ORD0054</t>
  </si>
  <si>
    <t>ORD0055</t>
  </si>
  <si>
    <t>ORD0056</t>
  </si>
  <si>
    <t>19-03-2025</t>
  </si>
  <si>
    <t>ORD0057</t>
  </si>
  <si>
    <t>ORD0058</t>
  </si>
  <si>
    <t>ORD0059</t>
  </si>
  <si>
    <t>ORD0060</t>
  </si>
  <si>
    <t>ORD0061</t>
  </si>
  <si>
    <t>ORD0062</t>
  </si>
  <si>
    <t>ORD0063</t>
  </si>
  <si>
    <t>30-03-2025</t>
  </si>
  <si>
    <t>ORD0064</t>
  </si>
  <si>
    <t>13-02-2025</t>
  </si>
  <si>
    <t>ORD0065</t>
  </si>
  <si>
    <t>16-03-2025</t>
  </si>
  <si>
    <t>ORD0066</t>
  </si>
  <si>
    <t>ORD0067</t>
  </si>
  <si>
    <t>31-03-2025</t>
  </si>
  <si>
    <t>ORD0068</t>
  </si>
  <si>
    <t>ORD0069</t>
  </si>
  <si>
    <t>25-02-2025</t>
  </si>
  <si>
    <t>ORD0070</t>
  </si>
  <si>
    <t>ORD0071</t>
  </si>
  <si>
    <t>ORD0072</t>
  </si>
  <si>
    <t>ORD0073</t>
  </si>
  <si>
    <t>ORD0074</t>
  </si>
  <si>
    <t>25-03-2025</t>
  </si>
  <si>
    <t>ORD0075</t>
  </si>
  <si>
    <t>ORD0076</t>
  </si>
  <si>
    <t>ORD0077</t>
  </si>
  <si>
    <t>ORD0078</t>
  </si>
  <si>
    <t>ORD0079</t>
  </si>
  <si>
    <t>ORD0080</t>
  </si>
  <si>
    <t>ORD0081</t>
  </si>
  <si>
    <t>ORD0082</t>
  </si>
  <si>
    <t>ORD0083</t>
  </si>
  <si>
    <t>28-02-2025</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</si>
  <si>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</si>
  <si>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</si>
  <si>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</si>
  <si>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</si>
  <si>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</si>
  <si>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</si>
  <si>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</si>
  <si>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</si>
  <si>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</si>
  <si>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</si>
  <si>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</si>
  <si>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</si>
  <si>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</si>
  <si>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</si>
  <si>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</si>
  <si>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</si>
  <si>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</si>
  <si>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</si>
  <si>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</si>
  <si>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</si>
  <si>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</si>
  <si>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22-02-2025</t>
  </si>
  <si>
    <t>ORD0105</t>
  </si>
  <si>
    <t>ORD0106</t>
  </si>
  <si>
    <t>ORD0107</t>
  </si>
  <si>
    <t>ORD0108</t>
  </si>
  <si>
    <t>ORD0109</t>
  </si>
  <si>
    <t>ORD0110</t>
  </si>
  <si>
    <t>ORD0111</t>
  </si>
  <si>
    <t>ORD0112</t>
  </si>
  <si>
    <t>ORD0113</t>
  </si>
  <si>
    <t>ORD0114</t>
  </si>
  <si>
    <t>ORD0115</t>
  </si>
  <si>
    <t>21-03-2025</t>
  </si>
  <si>
    <t>ORD0116</t>
  </si>
  <si>
    <t>ORD0117</t>
  </si>
  <si>
    <t>27-02-2025</t>
  </si>
  <si>
    <t>ORD0118</t>
  </si>
  <si>
    <t>ORD0119</t>
  </si>
  <si>
    <t>ORD0120</t>
  </si>
  <si>
    <t>ORD0121</t>
  </si>
  <si>
    <t>ORD0122</t>
  </si>
  <si>
    <t>28-03-2025</t>
  </si>
  <si>
    <t>ORD0123</t>
  </si>
  <si>
    <t>ORD0124</t>
  </si>
  <si>
    <t>ORD0125</t>
  </si>
  <si>
    <t>ORD0126</t>
  </si>
  <si>
    <t>ORD0127</t>
  </si>
  <si>
    <t>ORD0128</t>
  </si>
  <si>
    <t>23-03-2025</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</si>
  <si>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</si>
  <si>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</si>
  <si>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</si>
  <si>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</si>
  <si>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</si>
  <si>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</si>
  <si>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</si>
  <si>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</si>
  <si>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</si>
  <si>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</si>
  <si>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</si>
  <si>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</si>
  <si>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</si>
  <si>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</si>
  <si>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</si>
  <si>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</si>
  <si>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</si>
  <si>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</si>
  <si>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</si>
  <si>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</si>
  <si>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</si>
  <si>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</si>
  <si>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</si>
  <si>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29-03-2025</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</si>
  <si>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</si>
  <si>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</si>
  <si>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</si>
  <si>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</si>
  <si>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</si>
  <si>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</si>
  <si>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</si>
  <si>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</si>
  <si>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</si>
  <si>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</si>
  <si>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</si>
  <si>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</si>
  <si>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</si>
  <si>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</si>
  <si>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</si>
  <si>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</si>
  <si>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</si>
  <si>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</si>
  <si>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</si>
  <si>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</si>
  <si>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</si>
  <si>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</si>
  <si>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</si>
  <si>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</si>
  <si>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</si>
  <si>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27-03-2025</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</si>
  <si>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</si>
  <si>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</si>
  <si>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</si>
  <si>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</si>
  <si>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</si>
  <si>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</si>
  <si>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</si>
  <si>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</si>
  <si>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</si>
  <si>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</si>
  <si>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</si>
  <si>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</si>
  <si>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</si>
  <si>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</si>
  <si>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</si>
  <si>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</si>
  <si>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</si>
  <si>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</si>
  <si>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</si>
  <si>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</si>
  <si>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</si>
  <si>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</si>
  <si>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</si>
  <si>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</si>
  <si>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</si>
  <si>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</si>
  <si>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21-02-2025</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</si>
  <si>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</si>
  <si>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</si>
  <si>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</si>
  <si>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</si>
  <si>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</si>
  <si>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</si>
  <si>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</si>
  <si>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</si>
  <si>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</si>
  <si>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</si>
  <si>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</si>
  <si>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</si>
  <si>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</si>
  <si>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</si>
  <si>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</si>
  <si>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</si>
  <si>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</si>
  <si>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</si>
  <si>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</si>
  <si>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</si>
  <si>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</si>
  <si>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</si>
  <si>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</si>
  <si>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</si>
  <si>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</si>
  <si>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</si>
  <si>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</si>
  <si>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</si>
  <si>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</si>
  <si>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</si>
  <si>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</si>
  <si>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</si>
  <si>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</si>
  <si>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</si>
  <si>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</si>
  <si>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</si>
  <si>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</si>
  <si>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</si>
  <si>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</si>
  <si>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</si>
  <si>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</si>
  <si>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</si>
  <si>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</si>
  <si>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</si>
  <si>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</si>
  <si>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</si>
  <si>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</si>
  <si>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</si>
  <si>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Month</t>
  </si>
  <si>
    <t>Day</t>
  </si>
  <si>
    <t>Validation</t>
  </si>
  <si>
    <t>Row Labels</t>
  </si>
  <si>
    <t>Grand Total</t>
  </si>
  <si>
    <t>Sum of Total Sales</t>
  </si>
  <si>
    <t>Product Wise Sale</t>
  </si>
  <si>
    <t>Category Wise Sale</t>
  </si>
  <si>
    <t xml:space="preserve"> City Wise Sale</t>
  </si>
  <si>
    <t>Payment method usage</t>
  </si>
  <si>
    <t xml:space="preserve">Order status distribution </t>
  </si>
  <si>
    <t>Top customers by total spending</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</si>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</sst>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sz val="10"/>
      <color theme="1"/>
      <name val="Arial"/>
      <scheme val="minor"/>
    </font>
    <font>
      <sz val="10"/>
      <color theme="1"/>
      <name val="Arial"/>
      <family val="2"/>
      <scheme val="minor"/>
    </font>
    <font>
      <sz val="10"/>
      <color rgb="FF000000"/>
      <name val="Arial"/>
      <family val="2"/>
      <scheme val="minor"/>
    </font>
    <font>
      <sz val="8"/>
      <name val="Arial"/>
      <family val="2"/>
      <scheme val="minor"/>
    </font>
    <font>
      <sz val="10"/>
      <color rgb="FFFF0000"/>
      <name val="Arial"/>
      <family val="2"/>
      <scheme val="minor"/>
    </font>
    <font>
      <sz val="11"/>
      <color rgb="FFFF0000"/>
      <name val="Times New Roman"/>
      <family val="1"/>
    </font>
    <font>
      <b/>
      <sz val="11"/>
      <color rgb="FFFF0000"/>
      <name val="Arial"/>
      <family val="2"/>
      <scheme val="minor"/>
    </font>
  </fonts>
  <fills count="2">
    <fill>
      <patternFill patternType="none"/>
    </fill>
    <fill>
      <patternFill patternType="gray125"/>
    </fill>
  </fills>
  <borders count="9">
    <border>
      <left/>
      <right/>
      <top/>
      <bottom/>
      <diagonal/>
    </border>
    <border>
      <left style="thin">
        <color theme="1" tint="4.9989318521683403E-2"/>
      </left>
      <right/>
      <top style="thin">
        <color theme="1" tint="4.9989318521683403E-2"/>
      </top>
      <bottom/>
      <diagonal/>
    </border>
    <border>
      <left/>
      <right/>
      <top style="thin">
        <color theme="1" tint="4.9989318521683403E-2"/>
      </top>
      <bottom/>
      <diagonal/>
    </border>
    <border>
      <left/>
      <right style="thin">
        <color theme="1" tint="4.9989318521683403E-2"/>
      </right>
      <top style="thin">
        <color theme="1" tint="4.9989318521683403E-2"/>
      </top>
      <bottom/>
      <diagonal/>
    </border>
    <border>
      <left style="thin">
        <color theme="1" tint="4.9989318521683403E-2"/>
      </left>
      <right/>
      <top/>
      <bottom/>
      <diagonal/>
    </border>
    <border>
      <left/>
      <right style="thin">
        <color theme="1" tint="4.9989318521683403E-2"/>
      </right>
      <top/>
      <bottom/>
      <diagonal/>
    </border>
    <border>
      <left style="thin">
        <color theme="1" tint="4.9989318521683403E-2"/>
      </left>
      <right/>
      <top/>
      <bottom style="thin">
        <color theme="1" tint="4.9989318521683403E-2"/>
      </bottom>
      <diagonal/>
    </border>
    <border>
      <left/>
      <right/>
      <top/>
      <bottom style="thin">
        <color theme="1" tint="4.9989318521683403E-2"/>
      </bottom>
      <diagonal/>
    </border>
    <border>
      <left/>
      <right style="thin">
        <color theme="1" tint="4.9989318521683403E-2"/>
      </right>
      <top/>
      <bottom style="thin">
        <color theme="1" tint="4.9989318521683403E-2"/>
      </bottom>
      <diagonal/>
    </border>
  </borders>
  <cellStyleXfs count="1">
    <xf numFmtId="0" fontId="0" fillId="0" borderId="0"/>
  </cellStyleXfs>
  <cellXfs count="31">
    <xf numFmtId="0" fontId="0" fillId="0" borderId="0" xfId="0"/>
    <xf numFmtId="2" fontId="0" fillId="0" borderId="0" xfId="0" applyNumberFormat="1"/>
    <xf numFmtId="14" fontId="0" fillId="0" borderId="0" xfId="0" applyNumberFormat="1"/>
    <xf numFmtId="0" fontId="3" fillId="0" borderId="0" xfId="0" applyFont="1"/>
    <xf numFmtId="0" fontId="0" fillId="0" borderId="0" xfId="0" pivotButton="1"/>
    <xf numFmtId="0" fontId="0" fillId="0" borderId="0" xfId="0" applyAlignment="1">
      <alignment horizontal="left"/>
    </xf>
    <xf numFmtId="0" fontId="5" fillId="0" borderId="0" xfId="0" applyFont="1"/>
    <xf numFmtId="0" fontId="6" fillId="0" borderId="0" xfId="0" applyFont="1"/>
    <xf numFmtId="0" fontId="6" fillId="0" borderId="0" xfId="0" applyFont="1" applyAlignment="1">
      <alignment horizontal="left" vertical="center" indent="1"/>
    </xf>
    <xf numFmtId="0" fontId="0" fillId="0" borderId="7" xfId="0" applyBorder="1"/>
    <xf numFmtId="0" fontId="7" fillId="0" borderId="0" xfId="0" applyFont="1" applyAlignment="1">
      <alignment horizontal="center"/>
    </xf>
    <xf numFmtId="14" fontId="7" fillId="0" borderId="0" xfId="0" applyNumberFormat="1" applyFont="1" applyAlignment="1">
      <alignment horizontal="center"/>
    </xf>
    <xf numFmtId="2" fontId="7" fillId="0" borderId="0" xfId="0" applyNumberFormat="1" applyFont="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2" fontId="1" fillId="0" borderId="0" xfId="0" applyNumberFormat="1" applyFont="1" applyAlignment="1">
      <alignment horizontal="center"/>
    </xf>
    <xf numFmtId="0" fontId="2" fillId="0" borderId="0" xfId="0" applyFont="1" applyAlignment="1">
      <alignment horizontal="center"/>
    </xf>
    <xf numFmtId="0" fontId="0" fillId="0" borderId="0" xfId="0" applyAlignment="1">
      <alignment horizontal="center"/>
    </xf>
    <xf numFmtId="0" fontId="7" fillId="0" borderId="8" xfId="0" applyFont="1" applyBorder="1" applyAlignment="1">
      <alignment horizontal="center"/>
    </xf>
    <xf numFmtId="0" fontId="0" fillId="0" borderId="1" xfId="0" applyBorder="1" applyAlignment="1">
      <alignment horizontal="center"/>
    </xf>
    <xf numFmtId="14" fontId="0" fillId="0" borderId="2" xfId="0" applyNumberForma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14" fontId="0" fillId="0" borderId="0" xfId="0" applyNumberFormat="1" applyAlignment="1">
      <alignment horizontal="center"/>
    </xf>
    <xf numFmtId="0" fontId="0" fillId="0" borderId="5" xfId="0" applyBorder="1" applyAlignment="1">
      <alignment horizontal="center"/>
    </xf>
    <xf numFmtId="0" fontId="0" fillId="0" borderId="6" xfId="0" applyBorder="1" applyAlignment="1">
      <alignment horizontal="center"/>
    </xf>
    <xf numFmtId="14" fontId="0" fillId="0" borderId="7" xfId="0" applyNumberForma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[AmazonSales_Excel_Project.xlsx]PivotTable!PivotTable13</c:name>
    <c:fmtId val="24"/>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PivotTable!$E$19</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PivotTable!$D$20:$D$25</c:f>
              <c:strCache>
                <c:ptCount val="5"/>
                <c:pt idx="0">
                  <c:v>Electronics</c:v>
                </c:pt>
                <c:pt idx="1">
                  <c:v>Home Appliances</c:v>
                </c:pt>
                <c:pt idx="2">
                  <c:v>Footwear</c:v>
                </c:pt>
                <c:pt idx="3">
                  <c:v>Clothing</c:v>
                </c:pt>
                <c:pt idx="4">
                  <c:v>Books</c:v>
                </c:pt>
              </c:strCache>
            </c:strRef>
          </c:cat>
          <c:val>
            <c:numRef>
              <c:f>PivotTable!$E$20:$E$25</c:f>
              <c:numCache>
                <c:formatCode>0.00</c:formatCode>
                <c:ptCount val="5"/>
                <c:pt idx="0">
                  <c:v>129950</c:v>
                </c:pt>
                <c:pt idx="1">
                  <c:v>105000</c:v>
                </c:pt>
                <c:pt idx="2">
                  <c:v>4320</c:v>
                </c:pt>
                <c:pt idx="3">
                  <c:v>3540</c:v>
                </c:pt>
                <c:pt idx="4">
                  <c:v>1035</c:v>
                </c:pt>
              </c:numCache>
            </c:numRef>
          </c:val>
          <c:extLst>
            <c:ext xmlns:c16="http://schemas.microsoft.com/office/drawing/2014/chart" uri="{C3380CC4-5D6E-409C-BE32-E72D297353CC}">
              <c16:uniqueId val="{00000000-3C7D-4733-AC1E-1C0A18B2E84D}"/>
            </c:ext>
          </c:extLst>
        </c:ser>
        <c:dLbls>
          <c:dLblPos val="inEnd"/>
          <c:showLegendKey val="0"/>
          <c:showVal val="1"/>
          <c:showCatName val="0"/>
          <c:showSerName val="0"/>
          <c:showPercent val="0"/>
          <c:showBubbleSize val="0"/>
        </c:dLbls>
        <c:gapWidth val="100"/>
        <c:overlap val="-24"/>
        <c:axId val="422736912"/>
        <c:axId val="429708304"/>
      </c:barChart>
      <c:catAx>
        <c:axId val="42273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29708304"/>
        <c:crosses val="autoZero"/>
        <c:auto val="1"/>
        <c:lblAlgn val="ctr"/>
        <c:lblOffset val="100"/>
        <c:noMultiLvlLbl val="0"/>
      </c:catAx>
      <c:valAx>
        <c:axId val="4297083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22736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[AmazonSales_Excel_Project.xlsx]PivotTable!PivotTable2</c:name>
    <c:fmtId val="13"/>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142026784053567"/>
          <c:y val="0.25870166475553547"/>
          <c:w val="0.46064903796474266"/>
          <c:h val="0.59127003884720974"/>
        </c:manualLayout>
      </c:layout>
      <c:barChart>
        <c:barDir val="bar"/>
        <c:grouping val="clustered"/>
        <c:varyColors val="0"/>
        <c:ser>
          <c:idx val="0"/>
          <c:order val="0"/>
          <c:tx>
            <c:strRef>
              <c:f>PivotTable!$E$3</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PivotTable!$D$4:$D$14</c:f>
              <c:strCache>
                <c:ptCount val="10"/>
                <c:pt idx="0">
                  <c:v>Refrigerator</c:v>
                </c:pt>
                <c:pt idx="1">
                  <c:v>Laptop</c:v>
                </c:pt>
                <c:pt idx="2">
                  <c:v>Smartphone</c:v>
                </c:pt>
                <c:pt idx="3">
                  <c:v>Washing Machine</c:v>
                </c:pt>
                <c:pt idx="4">
                  <c:v>Smartwatch</c:v>
                </c:pt>
                <c:pt idx="5">
                  <c:v>Headphones</c:v>
                </c:pt>
                <c:pt idx="6">
                  <c:v>Running Shoes</c:v>
                </c:pt>
                <c:pt idx="7">
                  <c:v>Jeans</c:v>
                </c:pt>
                <c:pt idx="8">
                  <c:v>T-Shirt</c:v>
                </c:pt>
                <c:pt idx="9">
                  <c:v>Book</c:v>
                </c:pt>
              </c:strCache>
            </c:strRef>
          </c:cat>
          <c:val>
            <c:numRef>
              <c:f>PivotTable!$E$4:$E$14</c:f>
              <c:numCache>
                <c:formatCode>0.00</c:formatCode>
                <c:ptCount val="10"/>
                <c:pt idx="0">
                  <c:v>78000</c:v>
                </c:pt>
                <c:pt idx="1">
                  <c:v>58400</c:v>
                </c:pt>
                <c:pt idx="2">
                  <c:v>48500</c:v>
                </c:pt>
                <c:pt idx="3">
                  <c:v>27000</c:v>
                </c:pt>
                <c:pt idx="4">
                  <c:v>15750</c:v>
                </c:pt>
                <c:pt idx="5">
                  <c:v>7300</c:v>
                </c:pt>
                <c:pt idx="6">
                  <c:v>4320</c:v>
                </c:pt>
                <c:pt idx="7">
                  <c:v>2480</c:v>
                </c:pt>
                <c:pt idx="8">
                  <c:v>1060</c:v>
                </c:pt>
                <c:pt idx="9">
                  <c:v>1035</c:v>
                </c:pt>
              </c:numCache>
            </c:numRef>
          </c:val>
          <c:extLst>
            <c:ext xmlns:c16="http://schemas.microsoft.com/office/drawing/2014/chart" uri="{C3380CC4-5D6E-409C-BE32-E72D297353CC}">
              <c16:uniqueId val="{00000000-05F6-4BAC-BA9F-A823FA5317D6}"/>
            </c:ext>
          </c:extLst>
        </c:ser>
        <c:dLbls>
          <c:showLegendKey val="0"/>
          <c:showVal val="0"/>
          <c:showCatName val="0"/>
          <c:showSerName val="0"/>
          <c:showPercent val="0"/>
          <c:showBubbleSize val="0"/>
        </c:dLbls>
        <c:gapWidth val="100"/>
        <c:axId val="354357344"/>
        <c:axId val="429717424"/>
      </c:barChart>
      <c:catAx>
        <c:axId val="354357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29717424"/>
        <c:crosses val="autoZero"/>
        <c:auto val="1"/>
        <c:lblAlgn val="ctr"/>
        <c:lblOffset val="100"/>
        <c:noMultiLvlLbl val="0"/>
      </c:catAx>
      <c:valAx>
        <c:axId val="4297174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5435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[AmazonSales_Excel_Project.xlsx]PivotTable!PivotTable17</c:name>
    <c:fmtId val="17"/>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doughnutChart>
        <c:varyColors val="1"/>
        <c:ser>
          <c:idx val="0"/>
          <c:order val="0"/>
          <c:tx>
            <c:strRef>
              <c:f>PivotTable!$K$19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D8AA-4130-8432-41206B3899A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D8AA-4130-8432-41206B3899A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D8AA-4130-8432-41206B3899AB}"/>
              </c:ext>
            </c:extLst>
          </c:dPt>
          <c:cat>
            <c:strRef>
              <c:f>PivotTable!$J$20:$J$23</c:f>
              <c:strCache>
                <c:ptCount val="3"/>
                <c:pt idx="0">
                  <c:v>Cancelled</c:v>
                </c:pt>
                <c:pt idx="1">
                  <c:v>Completed</c:v>
                </c:pt>
                <c:pt idx="2">
                  <c:v>Pending</c:v>
                </c:pt>
              </c:strCache>
            </c:strRef>
          </c:cat>
          <c:val>
            <c:numRef>
              <c:f>PivotTable!$K$20:$K$23</c:f>
              <c:numCache>
                <c:formatCode>General</c:formatCode>
                <c:ptCount val="3"/>
                <c:pt idx="0">
                  <c:v>77</c:v>
                </c:pt>
                <c:pt idx="1">
                  <c:v>88</c:v>
                </c:pt>
                <c:pt idx="2">
                  <c:v>85</c:v>
                </c:pt>
              </c:numCache>
            </c:numRef>
          </c:val>
          <c:extLst>
            <c:ext xmlns:c16="http://schemas.microsoft.com/office/drawing/2014/chart" uri="{C3380CC4-5D6E-409C-BE32-E72D297353CC}">
              <c16:uniqueId val="{00000006-D8AA-4130-8432-41206B3899A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[AmazonSales_Excel_Project.xlsx]PivotTable!PivotTable16</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25400">
            <a:solidFill>
              <a:schemeClr val="lt1"/>
            </a:solidFill>
          </a:ln>
          <a:effectLst/>
          <a:sp3d contourW="25400">
            <a:contourClr>
              <a:schemeClr val="lt1"/>
            </a:contourClr>
          </a:sp3d>
        </c:spPr>
      </c:pivotFmt>
      <c:pivotFmt>
        <c:idx val="9"/>
        <c:spPr>
          <a:solidFill>
            <a:schemeClr val="accent6"/>
          </a:solidFill>
          <a:ln w="25400">
            <a:solidFill>
              <a:schemeClr val="lt1"/>
            </a:solidFill>
          </a:ln>
          <a:effectLst/>
          <a:sp3d contourW="25400">
            <a:contourClr>
              <a:schemeClr val="lt1"/>
            </a:contourClr>
          </a:sp3d>
        </c:spPr>
      </c:pivotFmt>
      <c:pivotFmt>
        <c:idx val="10"/>
        <c:spPr>
          <a:solidFill>
            <a:schemeClr val="accent6"/>
          </a:solidFill>
          <a:ln w="25400">
            <a:solidFill>
              <a:schemeClr val="lt1"/>
            </a:solidFill>
          </a:ln>
          <a:effectLst/>
          <a:sp3d contourW="25400">
            <a:contourClr>
              <a:schemeClr val="lt1"/>
            </a:contourClr>
          </a:sp3d>
        </c:spPr>
      </c:pivotFmt>
      <c:pivotFmt>
        <c:idx val="11"/>
        <c:spPr>
          <a:solidFill>
            <a:schemeClr val="accent6"/>
          </a:solidFill>
          <a:ln w="25400">
            <a:solidFill>
              <a:schemeClr val="lt1"/>
            </a:solidFill>
          </a:ln>
          <a:effectLst/>
          <a:sp3d contourW="25400">
            <a:contourClr>
              <a:schemeClr val="lt1"/>
            </a:contourClr>
          </a:sp3d>
        </c:spPr>
      </c:pivotFmt>
      <c:pivotFmt>
        <c:idx val="12"/>
        <c:spPr>
          <a:solidFill>
            <a:schemeClr val="accent6"/>
          </a:solidFill>
          <a:ln w="25400">
            <a:solidFill>
              <a:schemeClr val="lt1"/>
            </a:solidFill>
          </a:ln>
          <a:effectLst/>
          <a:sp3d contourW="25400">
            <a:contourClr>
              <a:schemeClr val="lt1"/>
            </a:contourClr>
          </a:sp3d>
        </c:spPr>
      </c:pivotFmt>
      <c:pivotFmt>
        <c:idx val="13"/>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w="25400">
            <a:solidFill>
              <a:schemeClr val="lt1"/>
            </a:solidFill>
          </a:ln>
          <a:effectLst/>
          <a:sp3d contourW="25400">
            <a:contourClr>
              <a:schemeClr val="lt1"/>
            </a:contourClr>
          </a:sp3d>
        </c:spPr>
      </c:pivotFmt>
      <c:pivotFmt>
        <c:idx val="15"/>
        <c:spPr>
          <a:solidFill>
            <a:schemeClr val="accent6"/>
          </a:solidFill>
          <a:ln w="25400">
            <a:solidFill>
              <a:schemeClr val="lt1"/>
            </a:solidFill>
          </a:ln>
          <a:effectLst/>
          <a:sp3d contourW="25400">
            <a:contourClr>
              <a:schemeClr val="lt1"/>
            </a:contourClr>
          </a:sp3d>
        </c:spPr>
      </c:pivotFmt>
      <c:pivotFmt>
        <c:idx val="16"/>
        <c:spPr>
          <a:solidFill>
            <a:schemeClr val="accent6"/>
          </a:solidFill>
          <a:ln w="25400">
            <a:solidFill>
              <a:schemeClr val="lt1"/>
            </a:solidFill>
          </a:ln>
          <a:effectLst/>
          <a:sp3d contourW="25400">
            <a:contourClr>
              <a:schemeClr val="lt1"/>
            </a:contourClr>
          </a:sp3d>
        </c:spPr>
      </c:pivotFmt>
      <c:pivotFmt>
        <c:idx val="17"/>
        <c:spPr>
          <a:solidFill>
            <a:schemeClr val="accent6"/>
          </a:solidFill>
          <a:ln w="25400">
            <a:solidFill>
              <a:schemeClr val="lt1"/>
            </a:solidFill>
          </a:ln>
          <a:effectLst/>
          <a:sp3d contourW="25400">
            <a:contourClr>
              <a:schemeClr val="lt1"/>
            </a:contourClr>
          </a:sp3d>
        </c:spPr>
      </c:pivotFmt>
      <c:pivotFmt>
        <c:idx val="18"/>
        <c:spPr>
          <a:solidFill>
            <a:schemeClr val="accent6"/>
          </a:solidFill>
          <a:ln w="25400">
            <a:solidFill>
              <a:schemeClr val="lt1"/>
            </a:solidFill>
          </a:ln>
          <a:effectLst/>
          <a:sp3d contourW="25400">
            <a:contourClr>
              <a:schemeClr val="lt1"/>
            </a:contourClr>
          </a:sp3d>
        </c:spPr>
      </c:pivotFmt>
      <c:pivotFmt>
        <c:idx val="19"/>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w="25400">
            <a:solidFill>
              <a:schemeClr val="lt1"/>
            </a:solidFill>
          </a:ln>
          <a:effectLst/>
          <a:sp3d contourW="25400">
            <a:contourClr>
              <a:schemeClr val="lt1"/>
            </a:contourClr>
          </a:sp3d>
        </c:spPr>
      </c:pivotFmt>
      <c:pivotFmt>
        <c:idx val="21"/>
        <c:spPr>
          <a:solidFill>
            <a:schemeClr val="accent6"/>
          </a:solidFill>
          <a:ln w="25400">
            <a:solidFill>
              <a:schemeClr val="lt1"/>
            </a:solidFill>
          </a:ln>
          <a:effectLst/>
          <a:sp3d contourW="25400">
            <a:contourClr>
              <a:schemeClr val="lt1"/>
            </a:contourClr>
          </a:sp3d>
        </c:spPr>
      </c:pivotFmt>
      <c:pivotFmt>
        <c:idx val="22"/>
        <c:spPr>
          <a:solidFill>
            <a:schemeClr val="accent6"/>
          </a:solidFill>
          <a:ln w="25400">
            <a:solidFill>
              <a:schemeClr val="lt1"/>
            </a:solidFill>
          </a:ln>
          <a:effectLst/>
          <a:sp3d contourW="25400">
            <a:contourClr>
              <a:schemeClr val="lt1"/>
            </a:contourClr>
          </a:sp3d>
        </c:spPr>
      </c:pivotFmt>
      <c:pivotFmt>
        <c:idx val="23"/>
        <c:spPr>
          <a:solidFill>
            <a:schemeClr val="accent6"/>
          </a:solidFill>
          <a:ln w="25400">
            <a:solidFill>
              <a:schemeClr val="lt1"/>
            </a:solidFill>
          </a:ln>
          <a:effectLst/>
          <a:sp3d contourW="25400">
            <a:contourClr>
              <a:schemeClr val="lt1"/>
            </a:contourClr>
          </a:sp3d>
        </c:spPr>
      </c:pivotFmt>
      <c:pivotFmt>
        <c:idx val="24"/>
        <c:spPr>
          <a:solidFill>
            <a:schemeClr val="accent6"/>
          </a:solidFill>
          <a:ln w="25400">
            <a:solidFill>
              <a:schemeClr val="lt1"/>
            </a:solidFill>
          </a:ln>
          <a:effectLst/>
          <a:sp3d contourW="25400">
            <a:contourClr>
              <a:schemeClr val="lt1"/>
            </a:contourClr>
          </a:sp3d>
        </c:spPr>
      </c:pivotFmt>
      <c:pivotFmt>
        <c:idx val="25"/>
        <c:spPr>
          <a:solidFill>
            <a:schemeClr val="accent6"/>
          </a:solidFill>
          <a:ln w="25400">
            <a:solidFill>
              <a:schemeClr val="lt1"/>
            </a:solidFill>
          </a:ln>
          <a:effectLst/>
          <a:sp3d contourW="25400">
            <a:contourClr>
              <a:schemeClr val="lt1"/>
            </a:contourClr>
          </a:sp3d>
        </c:spPr>
      </c:pivotFmt>
      <c:pivotFmt>
        <c:idx val="26"/>
        <c:spPr>
          <a:solidFill>
            <a:schemeClr val="accent6"/>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2222222222222223E-2"/>
          <c:y val="0.26544286733803824"/>
          <c:w val="0.7055555555555556"/>
          <c:h val="0.68230415794536969"/>
        </c:manualLayout>
      </c:layout>
      <c:pie3DChart>
        <c:varyColors val="1"/>
        <c:ser>
          <c:idx val="0"/>
          <c:order val="0"/>
          <c:tx>
            <c:strRef>
              <c:f>PivotTable!$H$19</c:f>
              <c:strCache>
                <c:ptCount val="1"/>
                <c:pt idx="0">
                  <c:v>Total</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1-4B62-4BDB-8B12-351E5CBFFA51}"/>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4B62-4BDB-8B12-351E5CBFFA51}"/>
              </c:ext>
            </c:extLst>
          </c:dPt>
          <c:dPt>
            <c:idx val="2"/>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4B62-4BDB-8B12-351E5CBFFA51}"/>
              </c:ext>
            </c:extLst>
          </c:dPt>
          <c:dPt>
            <c:idx val="3"/>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4B62-4BDB-8B12-351E5CBFFA51}"/>
              </c:ext>
            </c:extLst>
          </c:dPt>
          <c:dPt>
            <c:idx val="4"/>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4B62-4BDB-8B12-351E5CBFFA51}"/>
              </c:ext>
            </c:extLst>
          </c:dPt>
          <c:cat>
            <c:strRef>
              <c:f>PivotTable!$G$20:$G$25</c:f>
              <c:strCache>
                <c:ptCount val="5"/>
                <c:pt idx="0">
                  <c:v>PayPal</c:v>
                </c:pt>
                <c:pt idx="1">
                  <c:v>Credit Card</c:v>
                </c:pt>
                <c:pt idx="2">
                  <c:v>Gift Card</c:v>
                </c:pt>
                <c:pt idx="3">
                  <c:v>Amazon Pay</c:v>
                </c:pt>
                <c:pt idx="4">
                  <c:v>Debit Card</c:v>
                </c:pt>
              </c:strCache>
            </c:strRef>
          </c:cat>
          <c:val>
            <c:numRef>
              <c:f>PivotTable!$H$20:$H$25</c:f>
              <c:numCache>
                <c:formatCode>0.00</c:formatCode>
                <c:ptCount val="5"/>
                <c:pt idx="0">
                  <c:v>69645</c:v>
                </c:pt>
                <c:pt idx="1">
                  <c:v>61595</c:v>
                </c:pt>
                <c:pt idx="2">
                  <c:v>47955</c:v>
                </c:pt>
                <c:pt idx="3">
                  <c:v>32750</c:v>
                </c:pt>
                <c:pt idx="4">
                  <c:v>31900</c:v>
                </c:pt>
              </c:numCache>
            </c:numRef>
          </c:val>
          <c:extLst>
            <c:ext xmlns:c16="http://schemas.microsoft.com/office/drawing/2014/chart" uri="{C3380CC4-5D6E-409C-BE32-E72D297353CC}">
              <c16:uniqueId val="{0000000A-4B62-4BDB-8B12-351E5CBFFA5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[AmazonSales_Excel_Project.xlsx]PivotTable!PivotTable3</c:name>
    <c:fmtId val="12"/>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PivotTable!$H$3</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PivotTable!$G$4:$G$14</c:f>
              <c:strCache>
                <c:ptCount val="10"/>
                <c:pt idx="0">
                  <c:v>Miami</c:v>
                </c:pt>
                <c:pt idx="1">
                  <c:v>Denver</c:v>
                </c:pt>
                <c:pt idx="2">
                  <c:v>Houston</c:v>
                </c:pt>
                <c:pt idx="3">
                  <c:v>Dallas</c:v>
                </c:pt>
                <c:pt idx="4">
                  <c:v>Seattle</c:v>
                </c:pt>
                <c:pt idx="5">
                  <c:v>Boston</c:v>
                </c:pt>
                <c:pt idx="6">
                  <c:v>Chicago</c:v>
                </c:pt>
                <c:pt idx="7">
                  <c:v>New York</c:v>
                </c:pt>
                <c:pt idx="8">
                  <c:v>Los Angeles</c:v>
                </c:pt>
                <c:pt idx="9">
                  <c:v>San Francisco</c:v>
                </c:pt>
              </c:strCache>
            </c:strRef>
          </c:cat>
          <c:val>
            <c:numRef>
              <c:f>PivotTable!$H$4:$H$14</c:f>
              <c:numCache>
                <c:formatCode>0.00</c:formatCode>
                <c:ptCount val="10"/>
                <c:pt idx="0">
                  <c:v>31700</c:v>
                </c:pt>
                <c:pt idx="1">
                  <c:v>29785</c:v>
                </c:pt>
                <c:pt idx="2">
                  <c:v>28390</c:v>
                </c:pt>
                <c:pt idx="3">
                  <c:v>27145</c:v>
                </c:pt>
                <c:pt idx="4">
                  <c:v>26890</c:v>
                </c:pt>
                <c:pt idx="5">
                  <c:v>26170</c:v>
                </c:pt>
                <c:pt idx="6">
                  <c:v>20810</c:v>
                </c:pt>
                <c:pt idx="7">
                  <c:v>18940</c:v>
                </c:pt>
                <c:pt idx="8">
                  <c:v>17820</c:v>
                </c:pt>
                <c:pt idx="9">
                  <c:v>16195</c:v>
                </c:pt>
              </c:numCache>
            </c:numRef>
          </c:val>
          <c:extLst>
            <c:ext xmlns:c16="http://schemas.microsoft.com/office/drawing/2014/chart" uri="{C3380CC4-5D6E-409C-BE32-E72D297353CC}">
              <c16:uniqueId val="{00000000-78F0-4F80-8F64-2515E3B6F3E5}"/>
            </c:ext>
          </c:extLst>
        </c:ser>
        <c:dLbls>
          <c:showLegendKey val="0"/>
          <c:showVal val="0"/>
          <c:showCatName val="0"/>
          <c:showSerName val="0"/>
          <c:showPercent val="0"/>
          <c:showBubbleSize val="0"/>
        </c:dLbls>
        <c:gapWidth val="100"/>
        <c:axId val="422749440"/>
        <c:axId val="429785104"/>
      </c:barChart>
      <c:catAx>
        <c:axId val="422749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29785104"/>
        <c:crosses val="autoZero"/>
        <c:auto val="1"/>
        <c:lblAlgn val="ctr"/>
        <c:lblOffset val="100"/>
        <c:noMultiLvlLbl val="0"/>
      </c:catAx>
      <c:valAx>
        <c:axId val="42978510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2274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[AmazonSales_Excel_Project.xlsx]PivotTable!PivotTable10</c:name>
    <c:fmtId val="13"/>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PivotTable!$K$3</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PivotTable!$J$4:$J$14</c:f>
              <c:strCache>
                <c:ptCount val="10"/>
                <c:pt idx="0">
                  <c:v>Olivia Wilson</c:v>
                </c:pt>
                <c:pt idx="1">
                  <c:v>Jane Smith</c:v>
                </c:pt>
                <c:pt idx="2">
                  <c:v>Emma Clark</c:v>
                </c:pt>
                <c:pt idx="3">
                  <c:v>John Doe</c:v>
                </c:pt>
                <c:pt idx="4">
                  <c:v>Emily Johnson</c:v>
                </c:pt>
                <c:pt idx="5">
                  <c:v>David Lee</c:v>
                </c:pt>
                <c:pt idx="6">
                  <c:v>Michael Brown</c:v>
                </c:pt>
                <c:pt idx="7">
                  <c:v>Daniel Harris</c:v>
                </c:pt>
                <c:pt idx="8">
                  <c:v>Chris White</c:v>
                </c:pt>
                <c:pt idx="9">
                  <c:v>Sophia Miller</c:v>
                </c:pt>
              </c:strCache>
            </c:strRef>
          </c:cat>
          <c:val>
            <c:numRef>
              <c:f>PivotTable!$K$4:$K$14</c:f>
              <c:numCache>
                <c:formatCode>0.00</c:formatCode>
                <c:ptCount val="10"/>
                <c:pt idx="0">
                  <c:v>36170</c:v>
                </c:pt>
                <c:pt idx="1">
                  <c:v>31185</c:v>
                </c:pt>
                <c:pt idx="2">
                  <c:v>29700</c:v>
                </c:pt>
                <c:pt idx="3">
                  <c:v>26870</c:v>
                </c:pt>
                <c:pt idx="4">
                  <c:v>23475</c:v>
                </c:pt>
                <c:pt idx="5">
                  <c:v>22665</c:v>
                </c:pt>
                <c:pt idx="6">
                  <c:v>22655</c:v>
                </c:pt>
                <c:pt idx="7">
                  <c:v>18945</c:v>
                </c:pt>
                <c:pt idx="8">
                  <c:v>18885</c:v>
                </c:pt>
                <c:pt idx="9">
                  <c:v>13295</c:v>
                </c:pt>
              </c:numCache>
            </c:numRef>
          </c:val>
          <c:extLst>
            <c:ext xmlns:c16="http://schemas.microsoft.com/office/drawing/2014/chart" uri="{C3380CC4-5D6E-409C-BE32-E72D297353CC}">
              <c16:uniqueId val="{00000000-3A26-410A-83A9-C400D9B11E34}"/>
            </c:ext>
          </c:extLst>
        </c:ser>
        <c:dLbls>
          <c:showLegendKey val="0"/>
          <c:showVal val="0"/>
          <c:showCatName val="0"/>
          <c:showSerName val="0"/>
          <c:showPercent val="0"/>
          <c:showBubbleSize val="0"/>
        </c:dLbls>
        <c:gapWidth val="150"/>
        <c:overlap val="100"/>
        <c:axId val="1133727008"/>
        <c:axId val="429679984"/>
      </c:barChart>
      <c:catAx>
        <c:axId val="113372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29679984"/>
        <c:crosses val="autoZero"/>
        <c:auto val="1"/>
        <c:lblAlgn val="ctr"/>
        <c:lblOffset val="100"/>
        <c:noMultiLvlLbl val="0"/>
      </c:catAx>
      <c:valAx>
        <c:axId val="4296799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3372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457200</xdr:colOff>
      <xdr:row>4</xdr:row>
      <xdr:rowOff>38100</xdr:rowOff>
    </xdr:from>
    <xdr:to>
      <xdr:col>6</xdr:col>
      <xdr:colOff>198120</xdr:colOff>
      <xdr:row>13</xdr:row>
      <xdr:rowOff>106681</xdr:rowOff>
    </xdr:to>
    <mc:AlternateContent xmlns:mc="http://schemas.openxmlformats.org/markup-compatibility/2006" xmlns:a14="http://schemas.microsoft.com/office/drawing/2010/main">
      <mc:Choice Requires="a14">
        <xdr:graphicFrame macro="">
          <xdr:nvGraphicFramePr>
            <xdr:cNvPr id="2" name="Status 1">
              <a:extLst>
                <a:ext uri="{FF2B5EF4-FFF2-40B4-BE49-F238E27FC236}">
                  <a16:creationId xmlns:a16="http://schemas.microsoft.com/office/drawing/2014/main" id="{79C9F05E-1D83-4525-98AA-3B8EDD996AFB}"/>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066800" y="723900"/>
              <a:ext cx="2788920" cy="16116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4</xdr:row>
      <xdr:rowOff>7620</xdr:rowOff>
    </xdr:from>
    <xdr:to>
      <xdr:col>16</xdr:col>
      <xdr:colOff>266700</xdr:colOff>
      <xdr:row>13</xdr:row>
      <xdr:rowOff>91439</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E0969D99-6C1A-4E48-A16C-FB3D267E82F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315200" y="693420"/>
              <a:ext cx="2705100" cy="16268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412541</xdr:colOff>
      <xdr:row>4</xdr:row>
      <xdr:rowOff>9646</xdr:rowOff>
    </xdr:from>
    <xdr:to>
      <xdr:col>21</xdr:col>
      <xdr:colOff>145841</xdr:colOff>
      <xdr:row>13</xdr:row>
      <xdr:rowOff>85847</xdr:rowOff>
    </xdr:to>
    <mc:AlternateContent xmlns:mc="http://schemas.openxmlformats.org/markup-compatibility/2006" xmlns:a14="http://schemas.microsoft.com/office/drawing/2010/main">
      <mc:Choice Requires="a14">
        <xdr:graphicFrame macro="">
          <xdr:nvGraphicFramePr>
            <xdr:cNvPr id="4" name="Month 1">
              <a:extLst>
                <a:ext uri="{FF2B5EF4-FFF2-40B4-BE49-F238E27FC236}">
                  <a16:creationId xmlns:a16="http://schemas.microsoft.com/office/drawing/2014/main" id="{5BB0AC30-DCD7-4F68-8C51-083919F75807}"/>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0135275" y="665545"/>
              <a:ext cx="2771655" cy="15519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434340</xdr:colOff>
      <xdr:row>4</xdr:row>
      <xdr:rowOff>7620</xdr:rowOff>
    </xdr:from>
    <xdr:to>
      <xdr:col>11</xdr:col>
      <xdr:colOff>350520</xdr:colOff>
      <xdr:row>13</xdr:row>
      <xdr:rowOff>99059</xdr:rowOff>
    </xdr:to>
    <mc:AlternateContent xmlns:mc="http://schemas.openxmlformats.org/markup-compatibility/2006" xmlns:a14="http://schemas.microsoft.com/office/drawing/2010/main">
      <mc:Choice Requires="a14">
        <xdr:graphicFrame macro="">
          <xdr:nvGraphicFramePr>
            <xdr:cNvPr id="5" name="Customer Location 1">
              <a:extLst>
                <a:ext uri="{FF2B5EF4-FFF2-40B4-BE49-F238E27FC236}">
                  <a16:creationId xmlns:a16="http://schemas.microsoft.com/office/drawing/2014/main" id="{C02F9E3F-102F-4044-AD36-41144B915AA6}"/>
                </a:ext>
              </a:extLst>
            </xdr:cNvPr>
            <xdr:cNvGraphicFramePr/>
          </xdr:nvGraphicFramePr>
          <xdr:xfrm>
            <a:off x="0" y="0"/>
            <a:ext cx="0" cy="0"/>
          </xdr:xfrm>
          <a:graphic>
            <a:graphicData uri="http://schemas.microsoft.com/office/drawing/2010/slicer">
              <sle:slicer xmlns:sle="http://schemas.microsoft.com/office/drawing/2010/slicer" name="Customer Location 1"/>
            </a:graphicData>
          </a:graphic>
        </xdr:graphicFrame>
      </mc:Choice>
      <mc:Fallback xmlns="">
        <xdr:sp macro="" textlink="">
          <xdr:nvSpPr>
            <xdr:cNvPr id="0" name=""/>
            <xdr:cNvSpPr>
              <a:spLocks noTextEdit="1"/>
            </xdr:cNvSpPr>
          </xdr:nvSpPr>
          <xdr:spPr>
            <a:xfrm>
              <a:off x="4091940" y="693420"/>
              <a:ext cx="2964180" cy="16344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457200</xdr:colOff>
      <xdr:row>14</xdr:row>
      <xdr:rowOff>0</xdr:rowOff>
    </xdr:from>
    <xdr:to>
      <xdr:col>8</xdr:col>
      <xdr:colOff>45720</xdr:colOff>
      <xdr:row>29</xdr:row>
      <xdr:rowOff>154577</xdr:rowOff>
    </xdr:to>
    <xdr:graphicFrame macro="">
      <xdr:nvGraphicFramePr>
        <xdr:cNvPr id="6" name="Chart 5">
          <a:extLst>
            <a:ext uri="{FF2B5EF4-FFF2-40B4-BE49-F238E27FC236}">
              <a16:creationId xmlns:a16="http://schemas.microsoft.com/office/drawing/2014/main" id="{F1F522CA-85A5-4D4E-A51F-7F9D286C81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30480</xdr:colOff>
      <xdr:row>14</xdr:row>
      <xdr:rowOff>0</xdr:rowOff>
    </xdr:from>
    <xdr:to>
      <xdr:col>14</xdr:col>
      <xdr:colOff>243840</xdr:colOff>
      <xdr:row>29</xdr:row>
      <xdr:rowOff>154577</xdr:rowOff>
    </xdr:to>
    <xdr:graphicFrame macro="">
      <xdr:nvGraphicFramePr>
        <xdr:cNvPr id="7" name="Chart 6">
          <a:extLst>
            <a:ext uri="{FF2B5EF4-FFF2-40B4-BE49-F238E27FC236}">
              <a16:creationId xmlns:a16="http://schemas.microsoft.com/office/drawing/2014/main" id="{205A97A3-9B15-4D85-982A-C6EF7F2785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462915</xdr:colOff>
      <xdr:row>30</xdr:row>
      <xdr:rowOff>28575</xdr:rowOff>
    </xdr:from>
    <xdr:to>
      <xdr:col>8</xdr:col>
      <xdr:colOff>28574</xdr:colOff>
      <xdr:row>46</xdr:row>
      <xdr:rowOff>154305</xdr:rowOff>
    </xdr:to>
    <xdr:graphicFrame macro="">
      <xdr:nvGraphicFramePr>
        <xdr:cNvPr id="8" name="Chart 7">
          <a:extLst>
            <a:ext uri="{FF2B5EF4-FFF2-40B4-BE49-F238E27FC236}">
              <a16:creationId xmlns:a16="http://schemas.microsoft.com/office/drawing/2014/main" id="{C338DF72-5F69-4F75-AA64-D6B39CF1D7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30480</xdr:colOff>
      <xdr:row>30</xdr:row>
      <xdr:rowOff>28575</xdr:rowOff>
    </xdr:from>
    <xdr:to>
      <xdr:col>14</xdr:col>
      <xdr:colOff>243840</xdr:colOff>
      <xdr:row>46</xdr:row>
      <xdr:rowOff>154305</xdr:rowOff>
    </xdr:to>
    <xdr:graphicFrame macro="">
      <xdr:nvGraphicFramePr>
        <xdr:cNvPr id="9" name="Chart 8">
          <a:extLst>
            <a:ext uri="{FF2B5EF4-FFF2-40B4-BE49-F238E27FC236}">
              <a16:creationId xmlns:a16="http://schemas.microsoft.com/office/drawing/2014/main" id="{D7EFFBDE-07F5-4282-A00D-BE16223AB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224790</xdr:colOff>
      <xdr:row>14</xdr:row>
      <xdr:rowOff>9526</xdr:rowOff>
    </xdr:from>
    <xdr:to>
      <xdr:col>21</xdr:col>
      <xdr:colOff>285750</xdr:colOff>
      <xdr:row>29</xdr:row>
      <xdr:rowOff>152400</xdr:rowOff>
    </xdr:to>
    <xdr:graphicFrame macro="">
      <xdr:nvGraphicFramePr>
        <xdr:cNvPr id="10" name="Chart 9">
          <a:extLst>
            <a:ext uri="{FF2B5EF4-FFF2-40B4-BE49-F238E27FC236}">
              <a16:creationId xmlns:a16="http://schemas.microsoft.com/office/drawing/2014/main" id="{EF757712-F01C-49BC-BAC0-7EE4507959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253364</xdr:colOff>
      <xdr:row>30</xdr:row>
      <xdr:rowOff>26670</xdr:rowOff>
    </xdr:from>
    <xdr:to>
      <xdr:col>21</xdr:col>
      <xdr:colOff>304799</xdr:colOff>
      <xdr:row>46</xdr:row>
      <xdr:rowOff>144780</xdr:rowOff>
    </xdr:to>
    <xdr:graphicFrame macro="">
      <xdr:nvGraphicFramePr>
        <xdr:cNvPr id="11" name="Chart 10">
          <a:extLst>
            <a:ext uri="{FF2B5EF4-FFF2-40B4-BE49-F238E27FC236}">
              <a16:creationId xmlns:a16="http://schemas.microsoft.com/office/drawing/2014/main" id="{82C1580C-C888-438C-8D0D-BF4F6CE3A1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xdr:col>
      <xdr:colOff>457200</xdr:colOff>
      <xdr:row>0</xdr:row>
      <xdr:rowOff>114300</xdr:rowOff>
    </xdr:from>
    <xdr:ext cx="9163049" cy="504826"/>
    <xdr:sp macro="" textlink="">
      <xdr:nvSpPr>
        <xdr:cNvPr id="12" name="TextBox 11">
          <a:extLst>
            <a:ext uri="{FF2B5EF4-FFF2-40B4-BE49-F238E27FC236}">
              <a16:creationId xmlns:a16="http://schemas.microsoft.com/office/drawing/2014/main" id="{5779A3BD-EA6B-4302-B0F9-253757C80E81}"/>
            </a:ext>
          </a:extLst>
        </xdr:cNvPr>
        <xdr:cNvSpPr txBox="1"/>
      </xdr:nvSpPr>
      <xdr:spPr>
        <a:xfrm>
          <a:off x="1066800" y="114300"/>
          <a:ext cx="9163049" cy="504826"/>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400" b="1">
              <a:solidFill>
                <a:schemeClr val="tx1"/>
              </a:solidFill>
              <a:effectLst/>
              <a:latin typeface="+mn-lt"/>
              <a:ea typeface="+mn-ea"/>
              <a:cs typeface="+mn-cs"/>
            </a:rPr>
            <a:t>Amazon Sales Performance Dashboard</a:t>
          </a:r>
          <a:endParaRPr lang="en-IN" sz="2400">
            <a:effectLst/>
          </a:endParaRPr>
        </a:p>
        <a:p>
          <a:endParaRPr lang="en-IN" sz="1100"/>
        </a:p>
      </xdr:txBody>
    </xdr:sp>
    <xdr:clientData/>
  </xdr:oneCellAnchor>
  <xdr:twoCellAnchor editAs="oneCell">
    <xdr:from>
      <xdr:col>16</xdr:col>
      <xdr:colOff>180976</xdr:colOff>
      <xdr:row>0</xdr:row>
      <xdr:rowOff>1</xdr:rowOff>
    </xdr:from>
    <xdr:to>
      <xdr:col>21</xdr:col>
      <xdr:colOff>337678</xdr:colOff>
      <xdr:row>3</xdr:row>
      <xdr:rowOff>95251</xdr:rowOff>
    </xdr:to>
    <xdr:pic>
      <xdr:nvPicPr>
        <xdr:cNvPr id="14" name="Picture 13">
          <a:extLst>
            <a:ext uri="{FF2B5EF4-FFF2-40B4-BE49-F238E27FC236}">
              <a16:creationId xmlns:a16="http://schemas.microsoft.com/office/drawing/2014/main" id="{6B8D4504-F105-5450-2E1B-5D376324EC09}"/>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9934576" y="1"/>
          <a:ext cx="3204702" cy="6096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lagada Dayana" refreshedDate="46208.710677546296" createdVersion="8" refreshedVersion="8" minRefreshableVersion="3" recordCount="250" xr:uid="{87E0DB8A-25AC-4E6C-9A69-3F4466EA99FE}">
  <cacheSource type="worksheet">
    <worksheetSource ref="A1:N251" sheet="Cleaned_Data"/>
  </cacheSource>
  <cacheFields count="14">
    <cacheField name="Order ID" numFmtId="0">
      <sharedItems/>
    </cacheField>
    <cacheField name="Date" numFmtId="14">
      <sharedItems containsDate="1" containsMixedTypes="1" minDate="2025-01-03T00:00:00" maxDate="2025-12-04T00:00:00"/>
    </cacheField>
    <cacheField name="Product" numFmtId="0">
      <sharedItems count="10">
        <s v="Running Shoes"/>
        <s v="Headphones"/>
        <s v="Smartwatch"/>
        <s v="T-Shirt"/>
        <s v="Smartphone"/>
        <s v="Book"/>
        <s v="Jeans"/>
        <s v="Laptop"/>
        <s v="Washing Machine"/>
        <s v="Refrigerator"/>
      </sharedItems>
    </cacheField>
    <cacheField name="Category" numFmtId="0">
      <sharedItems count="5">
        <s v="Footwear"/>
        <s v="Electronics"/>
        <s v="Clothing"/>
        <s v="Books"/>
        <s v="Home Appliances"/>
      </sharedItems>
    </cacheField>
    <cacheField name="Price" numFmtId="2">
      <sharedItems containsSemiMixedTypes="0" containsString="0" containsNumber="1" containsInteger="1" minValue="15" maxValue="1200"/>
    </cacheField>
    <cacheField name="Quantity" numFmtId="2">
      <sharedItems containsSemiMixedTypes="0" containsString="0" containsNumber="1" containsInteger="1" minValue="1" maxValue="5"/>
    </cacheField>
    <cacheField name="Total Sales" numFmtId="2">
      <sharedItems containsSemiMixedTypes="0" containsString="0" containsNumber="1" containsInteger="1" minValue="15" maxValue="6000"/>
    </cacheField>
    <cacheField name="Customer Name" numFmtId="0">
      <sharedItems count="10">
        <s v="Emma Clark"/>
        <s v="Emily Johnson"/>
        <s v="John Doe"/>
        <s v="Olivia Wilson"/>
        <s v="Sophia Miller"/>
        <s v="David Lee"/>
        <s v="Michael Brown"/>
        <s v="Daniel Harris"/>
        <s v="Chris White"/>
        <s v="Jane Smith"/>
      </sharedItems>
    </cacheField>
    <cacheField name="Customer Location" numFmtId="0">
      <sharedItems count="10">
        <s v="New York"/>
        <s v="San Francisco"/>
        <s v="Denver"/>
        <s v="Dallas"/>
        <s v="Houston"/>
        <s v="Miami"/>
        <s v="Boston"/>
        <s v="Seattle"/>
        <s v="Los Angeles"/>
        <s v="Chicago"/>
      </sharedItems>
    </cacheField>
    <cacheField name="Payment Method" numFmtId="0">
      <sharedItems count="5">
        <s v="Debit Card"/>
        <s v="Amazon Pay"/>
        <s v="Credit Card"/>
        <s v="PayPal"/>
        <s v="Gift Card"/>
      </sharedItems>
    </cacheField>
    <cacheField name="Status" numFmtId="0">
      <sharedItems count="3">
        <s v="Cancelled"/>
        <s v="Pending"/>
        <s v="Completed"/>
      </sharedItems>
    </cacheField>
    <cacheField name="Month" numFmtId="0">
      <sharedItems count="12">
        <s v="Mar"/>
        <s v="Feb"/>
        <s v="Oct"/>
        <s v="Aug"/>
        <s v="Dec"/>
        <s v="Jan"/>
        <s v="Apr"/>
        <s v="Jul"/>
        <s v="May"/>
        <s v="Sep"/>
        <s v="Jun"/>
        <s v="Nov"/>
      </sharedItems>
    </cacheField>
    <cacheField name="Day" numFmtId="0">
      <sharedItems/>
    </cacheField>
    <cacheField name="Validation" numFmtId="0">
      <sharedItems/>
    </cacheField>
  </cacheFields>
  <extLst>
    <ext xmlns:x14="http://schemas.microsoft.com/office/spreadsheetml/2009/9/main" uri="{725AE2AE-9491-48be-B2B4-4EB974FC3084}">
      <x14:pivotCacheDefinition pivotCacheId="5643345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ORD0001"/>
    <s v="14-03-2025"/>
    <x v="0"/>
    <x v="0"/>
    <n v="60"/>
    <n v="3"/>
    <n v="180"/>
    <x v="0"/>
    <x v="0"/>
    <x v="0"/>
    <x v="0"/>
    <x v="0"/>
    <s v="Fri"/>
    <s v="Correct"/>
  </r>
  <r>
    <s v="ORD0002"/>
    <s v="20-03-2025"/>
    <x v="1"/>
    <x v="1"/>
    <n v="100"/>
    <n v="4"/>
    <n v="400"/>
    <x v="1"/>
    <x v="1"/>
    <x v="0"/>
    <x v="1"/>
    <x v="0"/>
    <s v="Thu"/>
    <s v="Correct"/>
  </r>
  <r>
    <s v="ORD0003"/>
    <s v="15-02-2025"/>
    <x v="0"/>
    <x v="0"/>
    <n v="60"/>
    <n v="2"/>
    <n v="120"/>
    <x v="2"/>
    <x v="2"/>
    <x v="1"/>
    <x v="0"/>
    <x v="1"/>
    <s v="Sat"/>
    <s v="Correct"/>
  </r>
  <r>
    <s v="ORD0004"/>
    <s v="19-02-2025"/>
    <x v="0"/>
    <x v="0"/>
    <n v="60"/>
    <n v="3"/>
    <n v="180"/>
    <x v="3"/>
    <x v="3"/>
    <x v="2"/>
    <x v="1"/>
    <x v="1"/>
    <s v="Wed"/>
    <s v="Correct"/>
  </r>
  <r>
    <s v="ORD0005"/>
    <d v="2025-10-03T00:00:00"/>
    <x v="2"/>
    <x v="1"/>
    <n v="150"/>
    <n v="3"/>
    <n v="450"/>
    <x v="0"/>
    <x v="0"/>
    <x v="0"/>
    <x v="1"/>
    <x v="2"/>
    <s v="Fri"/>
    <s v="Correct"/>
  </r>
  <r>
    <s v="ORD0006"/>
    <s v="14-03-2025"/>
    <x v="3"/>
    <x v="2"/>
    <n v="20"/>
    <n v="1"/>
    <n v="20"/>
    <x v="2"/>
    <x v="3"/>
    <x v="2"/>
    <x v="1"/>
    <x v="0"/>
    <s v="Fri"/>
    <s v="Correct"/>
  </r>
  <r>
    <s v="ORD0007"/>
    <s v="18-03-2025"/>
    <x v="2"/>
    <x v="1"/>
    <n v="150"/>
    <n v="4"/>
    <n v="600"/>
    <x v="0"/>
    <x v="4"/>
    <x v="3"/>
    <x v="2"/>
    <x v="0"/>
    <s v="Tue"/>
    <s v="Correct"/>
  </r>
  <r>
    <s v="ORD0008"/>
    <d v="2025-02-03T00:00:00"/>
    <x v="4"/>
    <x v="1"/>
    <n v="500"/>
    <n v="1"/>
    <n v="500"/>
    <x v="4"/>
    <x v="5"/>
    <x v="3"/>
    <x v="2"/>
    <x v="1"/>
    <s v="Mon"/>
    <s v="Correct"/>
  </r>
  <r>
    <s v="ORD0009"/>
    <d v="2025-08-03T00:00:00"/>
    <x v="3"/>
    <x v="2"/>
    <n v="20"/>
    <n v="3"/>
    <n v="60"/>
    <x v="4"/>
    <x v="6"/>
    <x v="3"/>
    <x v="2"/>
    <x v="3"/>
    <s v="Sun"/>
    <s v="Correct"/>
  </r>
  <r>
    <s v="ORD0010"/>
    <d v="2025-12-03T00:00:00"/>
    <x v="4"/>
    <x v="1"/>
    <n v="500"/>
    <n v="1"/>
    <n v="500"/>
    <x v="1"/>
    <x v="1"/>
    <x v="2"/>
    <x v="0"/>
    <x v="4"/>
    <s v="Wed"/>
    <s v="Correct"/>
  </r>
  <r>
    <s v="ORD0011"/>
    <s v="17-02-2025"/>
    <x v="5"/>
    <x v="3"/>
    <n v="15"/>
    <n v="2"/>
    <n v="30"/>
    <x v="5"/>
    <x v="6"/>
    <x v="1"/>
    <x v="1"/>
    <x v="1"/>
    <s v="Mon"/>
    <s v="Correct"/>
  </r>
  <r>
    <s v="ORD0012"/>
    <s v="13-03-2025"/>
    <x v="6"/>
    <x v="2"/>
    <n v="40"/>
    <n v="4"/>
    <n v="160"/>
    <x v="6"/>
    <x v="3"/>
    <x v="2"/>
    <x v="2"/>
    <x v="0"/>
    <s v="Thu"/>
    <s v="Correct"/>
  </r>
  <r>
    <s v="ORD0013"/>
    <d v="2025-01-03T00:00:00"/>
    <x v="7"/>
    <x v="1"/>
    <n v="800"/>
    <n v="2"/>
    <n v="1600"/>
    <x v="7"/>
    <x v="1"/>
    <x v="4"/>
    <x v="1"/>
    <x v="5"/>
    <s v="Fri"/>
    <s v="Correct"/>
  </r>
  <r>
    <s v="ORD0014"/>
    <d v="2025-04-03T00:00:00"/>
    <x v="8"/>
    <x v="4"/>
    <n v="600"/>
    <n v="3"/>
    <n v="1800"/>
    <x v="6"/>
    <x v="5"/>
    <x v="2"/>
    <x v="0"/>
    <x v="6"/>
    <s v="Thu"/>
    <s v="Correct"/>
  </r>
  <r>
    <s v="ORD0015"/>
    <s v="20-02-2025"/>
    <x v="2"/>
    <x v="1"/>
    <n v="150"/>
    <n v="4"/>
    <n v="600"/>
    <x v="2"/>
    <x v="7"/>
    <x v="2"/>
    <x v="2"/>
    <x v="1"/>
    <s v="Thu"/>
    <s v="Correct"/>
  </r>
  <r>
    <s v="ORD0016"/>
    <s v="26-02-2025"/>
    <x v="9"/>
    <x v="4"/>
    <n v="1200"/>
    <n v="1"/>
    <n v="1200"/>
    <x v="2"/>
    <x v="6"/>
    <x v="2"/>
    <x v="0"/>
    <x v="1"/>
    <s v="Wed"/>
    <s v="Correct"/>
  </r>
  <r>
    <s v="ORD0017"/>
    <d v="2025-01-04T00:00:00"/>
    <x v="3"/>
    <x v="2"/>
    <n v="20"/>
    <n v="1"/>
    <n v="20"/>
    <x v="0"/>
    <x v="0"/>
    <x v="1"/>
    <x v="2"/>
    <x v="5"/>
    <s v="Sat"/>
    <s v="Correct"/>
  </r>
  <r>
    <s v="ORD0018"/>
    <d v="2025-10-02T00:00:00"/>
    <x v="4"/>
    <x v="1"/>
    <n v="500"/>
    <n v="2"/>
    <n v="1000"/>
    <x v="6"/>
    <x v="8"/>
    <x v="1"/>
    <x v="2"/>
    <x v="2"/>
    <s v="Thu"/>
    <s v="Correct"/>
  </r>
  <r>
    <s v="ORD0019"/>
    <s v="22-03-2025"/>
    <x v="0"/>
    <x v="0"/>
    <n v="60"/>
    <n v="3"/>
    <n v="180"/>
    <x v="3"/>
    <x v="4"/>
    <x v="2"/>
    <x v="2"/>
    <x v="0"/>
    <s v="Sat"/>
    <s v="Correct"/>
  </r>
  <r>
    <s v="ORD0020"/>
    <d v="2025-07-03T00:00:00"/>
    <x v="1"/>
    <x v="1"/>
    <n v="100"/>
    <n v="4"/>
    <n v="400"/>
    <x v="3"/>
    <x v="7"/>
    <x v="0"/>
    <x v="1"/>
    <x v="7"/>
    <s v="Thu"/>
    <s v="Correct"/>
  </r>
  <r>
    <s v="ORD0021"/>
    <d v="2025-05-02T00:00:00"/>
    <x v="1"/>
    <x v="1"/>
    <n v="100"/>
    <n v="3"/>
    <n v="300"/>
    <x v="8"/>
    <x v="5"/>
    <x v="0"/>
    <x v="0"/>
    <x v="8"/>
    <s v="Fri"/>
    <s v="Correct"/>
  </r>
  <r>
    <s v="ORD0022"/>
    <d v="2025-07-03T00:00:00"/>
    <x v="9"/>
    <x v="4"/>
    <n v="1200"/>
    <n v="4"/>
    <n v="4800"/>
    <x v="3"/>
    <x v="4"/>
    <x v="2"/>
    <x v="1"/>
    <x v="7"/>
    <s v="Thu"/>
    <s v="Correct"/>
  </r>
  <r>
    <s v="ORD0023"/>
    <s v="23-02-2025"/>
    <x v="5"/>
    <x v="3"/>
    <n v="15"/>
    <n v="1"/>
    <n v="15"/>
    <x v="0"/>
    <x v="4"/>
    <x v="2"/>
    <x v="1"/>
    <x v="1"/>
    <s v="Sun"/>
    <s v="Correct"/>
  </r>
  <r>
    <s v="ORD0024"/>
    <s v="24-03-2025"/>
    <x v="9"/>
    <x v="4"/>
    <n v="1200"/>
    <n v="3"/>
    <n v="3600"/>
    <x v="8"/>
    <x v="3"/>
    <x v="2"/>
    <x v="0"/>
    <x v="0"/>
    <s v="Mon"/>
    <s v="Correct"/>
  </r>
  <r>
    <s v="ORD0025"/>
    <d v="2025-02-03T00:00:00"/>
    <x v="5"/>
    <x v="3"/>
    <n v="15"/>
    <n v="5"/>
    <n v="75"/>
    <x v="4"/>
    <x v="7"/>
    <x v="1"/>
    <x v="2"/>
    <x v="1"/>
    <s v="Mon"/>
    <s v="Correct"/>
  </r>
  <r>
    <s v="ORD0026"/>
    <s v="14-02-2025"/>
    <x v="8"/>
    <x v="4"/>
    <n v="600"/>
    <n v="1"/>
    <n v="600"/>
    <x v="3"/>
    <x v="6"/>
    <x v="0"/>
    <x v="0"/>
    <x v="1"/>
    <s v="Fri"/>
    <s v="Correct"/>
  </r>
  <r>
    <s v="ORD0027"/>
    <d v="2025-07-02T00:00:00"/>
    <x v="3"/>
    <x v="2"/>
    <n v="20"/>
    <n v="1"/>
    <n v="20"/>
    <x v="7"/>
    <x v="0"/>
    <x v="1"/>
    <x v="1"/>
    <x v="7"/>
    <s v="Wed"/>
    <s v="Correct"/>
  </r>
  <r>
    <s v="ORD0028"/>
    <d v="2025-03-02T00:00:00"/>
    <x v="1"/>
    <x v="1"/>
    <n v="100"/>
    <n v="1"/>
    <n v="100"/>
    <x v="9"/>
    <x v="9"/>
    <x v="1"/>
    <x v="2"/>
    <x v="0"/>
    <s v="Sun"/>
    <s v="Correct"/>
  </r>
  <r>
    <s v="ORD0029"/>
    <d v="2025-12-02T00:00:00"/>
    <x v="4"/>
    <x v="1"/>
    <n v="500"/>
    <n v="1"/>
    <n v="500"/>
    <x v="4"/>
    <x v="2"/>
    <x v="2"/>
    <x v="0"/>
    <x v="4"/>
    <s v="Tue"/>
    <s v="Correct"/>
  </r>
  <r>
    <s v="ORD0030"/>
    <d v="2025-10-02T00:00:00"/>
    <x v="8"/>
    <x v="4"/>
    <n v="600"/>
    <n v="3"/>
    <n v="1800"/>
    <x v="1"/>
    <x v="3"/>
    <x v="4"/>
    <x v="0"/>
    <x v="2"/>
    <s v="Thu"/>
    <s v="Correct"/>
  </r>
  <r>
    <s v="ORD0031"/>
    <s v="24-03-2025"/>
    <x v="4"/>
    <x v="1"/>
    <n v="500"/>
    <n v="1"/>
    <n v="500"/>
    <x v="2"/>
    <x v="4"/>
    <x v="4"/>
    <x v="1"/>
    <x v="0"/>
    <s v="Mon"/>
    <s v="Correct"/>
  </r>
  <r>
    <s v="ORD0032"/>
    <d v="2025-10-03T00:00:00"/>
    <x v="4"/>
    <x v="1"/>
    <n v="500"/>
    <n v="4"/>
    <n v="2000"/>
    <x v="6"/>
    <x v="7"/>
    <x v="3"/>
    <x v="1"/>
    <x v="2"/>
    <s v="Fri"/>
    <s v="Correct"/>
  </r>
  <r>
    <s v="ORD0033"/>
    <d v="2025-04-02T00:00:00"/>
    <x v="5"/>
    <x v="3"/>
    <n v="15"/>
    <n v="1"/>
    <n v="15"/>
    <x v="3"/>
    <x v="0"/>
    <x v="0"/>
    <x v="0"/>
    <x v="6"/>
    <s v="Wed"/>
    <s v="Correct"/>
  </r>
  <r>
    <s v="ORD0034"/>
    <d v="2025-02-04T00:00:00"/>
    <x v="3"/>
    <x v="2"/>
    <n v="20"/>
    <n v="5"/>
    <n v="100"/>
    <x v="9"/>
    <x v="0"/>
    <x v="2"/>
    <x v="1"/>
    <x v="1"/>
    <s v="Tue"/>
    <s v="Correct"/>
  </r>
  <r>
    <s v="ORD0035"/>
    <d v="2025-02-04T00:00:00"/>
    <x v="7"/>
    <x v="1"/>
    <n v="800"/>
    <n v="3"/>
    <n v="2400"/>
    <x v="0"/>
    <x v="2"/>
    <x v="1"/>
    <x v="2"/>
    <x v="1"/>
    <s v="Tue"/>
    <s v="Correct"/>
  </r>
  <r>
    <s v="ORD0036"/>
    <d v="2025-09-02T00:00:00"/>
    <x v="9"/>
    <x v="4"/>
    <n v="1200"/>
    <n v="2"/>
    <n v="2400"/>
    <x v="4"/>
    <x v="6"/>
    <x v="3"/>
    <x v="0"/>
    <x v="9"/>
    <s v="Tue"/>
    <s v="Correct"/>
  </r>
  <r>
    <s v="ORD0037"/>
    <s v="16-02-2025"/>
    <x v="1"/>
    <x v="1"/>
    <n v="100"/>
    <n v="3"/>
    <n v="300"/>
    <x v="6"/>
    <x v="0"/>
    <x v="0"/>
    <x v="0"/>
    <x v="1"/>
    <s v="Sun"/>
    <s v="Correct"/>
  </r>
  <r>
    <s v="ORD0038"/>
    <s v="26-03-2025"/>
    <x v="7"/>
    <x v="1"/>
    <n v="800"/>
    <n v="3"/>
    <n v="2400"/>
    <x v="3"/>
    <x v="9"/>
    <x v="1"/>
    <x v="2"/>
    <x v="0"/>
    <s v="Wed"/>
    <s v="Correct"/>
  </r>
  <r>
    <s v="ORD0039"/>
    <d v="2025-02-03T00:00:00"/>
    <x v="7"/>
    <x v="1"/>
    <n v="800"/>
    <n v="2"/>
    <n v="1600"/>
    <x v="3"/>
    <x v="1"/>
    <x v="3"/>
    <x v="2"/>
    <x v="1"/>
    <s v="Mon"/>
    <s v="Correct"/>
  </r>
  <r>
    <s v="ORD0040"/>
    <s v="26-03-2025"/>
    <x v="2"/>
    <x v="1"/>
    <n v="150"/>
    <n v="1"/>
    <n v="150"/>
    <x v="1"/>
    <x v="7"/>
    <x v="4"/>
    <x v="1"/>
    <x v="0"/>
    <s v="Wed"/>
    <s v="Correct"/>
  </r>
  <r>
    <s v="ORD0041"/>
    <s v="20-02-2025"/>
    <x v="5"/>
    <x v="3"/>
    <n v="15"/>
    <n v="1"/>
    <n v="15"/>
    <x v="9"/>
    <x v="5"/>
    <x v="2"/>
    <x v="0"/>
    <x v="1"/>
    <s v="Thu"/>
    <s v="Correct"/>
  </r>
  <r>
    <s v="ORD0042"/>
    <s v="17-03-2025"/>
    <x v="1"/>
    <x v="1"/>
    <n v="100"/>
    <n v="3"/>
    <n v="300"/>
    <x v="9"/>
    <x v="9"/>
    <x v="1"/>
    <x v="0"/>
    <x v="0"/>
    <s v="Mon"/>
    <s v="Correct"/>
  </r>
  <r>
    <s v="ORD0043"/>
    <d v="2025-08-02T00:00:00"/>
    <x v="3"/>
    <x v="2"/>
    <n v="20"/>
    <n v="4"/>
    <n v="80"/>
    <x v="9"/>
    <x v="2"/>
    <x v="2"/>
    <x v="1"/>
    <x v="3"/>
    <s v="Sat"/>
    <s v="Correct"/>
  </r>
  <r>
    <s v="ORD0044"/>
    <s v="24-03-2025"/>
    <x v="2"/>
    <x v="1"/>
    <n v="150"/>
    <n v="1"/>
    <n v="150"/>
    <x v="8"/>
    <x v="4"/>
    <x v="0"/>
    <x v="1"/>
    <x v="0"/>
    <s v="Mon"/>
    <s v="Correct"/>
  </r>
  <r>
    <s v="ORD0045"/>
    <s v="15-03-2025"/>
    <x v="9"/>
    <x v="4"/>
    <n v="1200"/>
    <n v="3"/>
    <n v="3600"/>
    <x v="7"/>
    <x v="0"/>
    <x v="2"/>
    <x v="1"/>
    <x v="0"/>
    <s v="Sat"/>
    <s v="Correct"/>
  </r>
  <r>
    <s v="ORD0046"/>
    <d v="2025-06-03T00:00:00"/>
    <x v="0"/>
    <x v="0"/>
    <n v="60"/>
    <n v="2"/>
    <n v="120"/>
    <x v="5"/>
    <x v="4"/>
    <x v="0"/>
    <x v="0"/>
    <x v="10"/>
    <s v="Tue"/>
    <s v="Correct"/>
  </r>
  <r>
    <s v="ORD0047"/>
    <s v="26-03-2025"/>
    <x v="3"/>
    <x v="2"/>
    <n v="20"/>
    <n v="2"/>
    <n v="40"/>
    <x v="8"/>
    <x v="5"/>
    <x v="4"/>
    <x v="0"/>
    <x v="0"/>
    <s v="Wed"/>
    <s v="Correct"/>
  </r>
  <r>
    <s v="ORD0048"/>
    <d v="2025-11-02T00:00:00"/>
    <x v="3"/>
    <x v="2"/>
    <n v="20"/>
    <n v="5"/>
    <n v="100"/>
    <x v="9"/>
    <x v="2"/>
    <x v="1"/>
    <x v="2"/>
    <x v="11"/>
    <s v="Sun"/>
    <s v="Correct"/>
  </r>
  <r>
    <s v="ORD0049"/>
    <s v="18-02-2025"/>
    <x v="4"/>
    <x v="1"/>
    <n v="500"/>
    <n v="4"/>
    <n v="2000"/>
    <x v="0"/>
    <x v="9"/>
    <x v="0"/>
    <x v="2"/>
    <x v="1"/>
    <s v="Tue"/>
    <s v="Correct"/>
  </r>
  <r>
    <s v="ORD0050"/>
    <s v="14-03-2025"/>
    <x v="6"/>
    <x v="2"/>
    <n v="40"/>
    <n v="3"/>
    <n v="120"/>
    <x v="2"/>
    <x v="6"/>
    <x v="4"/>
    <x v="2"/>
    <x v="0"/>
    <s v="Fri"/>
    <s v="Correct"/>
  </r>
  <r>
    <s v="ORD0051"/>
    <s v="19-02-2025"/>
    <x v="5"/>
    <x v="3"/>
    <n v="15"/>
    <n v="1"/>
    <n v="15"/>
    <x v="0"/>
    <x v="4"/>
    <x v="4"/>
    <x v="0"/>
    <x v="1"/>
    <s v="Wed"/>
    <s v="Correct"/>
  </r>
  <r>
    <s v="ORD0052"/>
    <s v="24-02-2025"/>
    <x v="7"/>
    <x v="1"/>
    <n v="800"/>
    <n v="3"/>
    <n v="2400"/>
    <x v="2"/>
    <x v="1"/>
    <x v="2"/>
    <x v="1"/>
    <x v="1"/>
    <s v="Mon"/>
    <s v="Correct"/>
  </r>
  <r>
    <s v="ORD0053"/>
    <s v="24-03-2025"/>
    <x v="0"/>
    <x v="0"/>
    <n v="60"/>
    <n v="4"/>
    <n v="240"/>
    <x v="1"/>
    <x v="8"/>
    <x v="3"/>
    <x v="2"/>
    <x v="0"/>
    <s v="Mon"/>
    <s v="Correct"/>
  </r>
  <r>
    <s v="ORD0054"/>
    <s v="15-03-2025"/>
    <x v="2"/>
    <x v="1"/>
    <n v="150"/>
    <n v="3"/>
    <n v="450"/>
    <x v="5"/>
    <x v="6"/>
    <x v="4"/>
    <x v="1"/>
    <x v="0"/>
    <s v="Sat"/>
    <s v="Correct"/>
  </r>
  <r>
    <s v="ORD0055"/>
    <s v="15-03-2025"/>
    <x v="6"/>
    <x v="2"/>
    <n v="40"/>
    <n v="2"/>
    <n v="80"/>
    <x v="4"/>
    <x v="3"/>
    <x v="3"/>
    <x v="2"/>
    <x v="0"/>
    <s v="Sat"/>
    <s v="Correct"/>
  </r>
  <r>
    <s v="ORD0056"/>
    <s v="19-03-2025"/>
    <x v="2"/>
    <x v="1"/>
    <n v="150"/>
    <n v="2"/>
    <n v="300"/>
    <x v="0"/>
    <x v="3"/>
    <x v="2"/>
    <x v="2"/>
    <x v="0"/>
    <s v="Wed"/>
    <s v="Correct"/>
  </r>
  <r>
    <s v="ORD0057"/>
    <s v="15-03-2025"/>
    <x v="4"/>
    <x v="1"/>
    <n v="500"/>
    <n v="1"/>
    <n v="500"/>
    <x v="9"/>
    <x v="8"/>
    <x v="0"/>
    <x v="0"/>
    <x v="0"/>
    <s v="Sat"/>
    <s v="Correct"/>
  </r>
  <r>
    <s v="ORD0058"/>
    <s v="13-03-2025"/>
    <x v="4"/>
    <x v="1"/>
    <n v="500"/>
    <n v="1"/>
    <n v="500"/>
    <x v="9"/>
    <x v="9"/>
    <x v="3"/>
    <x v="0"/>
    <x v="0"/>
    <s v="Thu"/>
    <s v="Correct"/>
  </r>
  <r>
    <s v="ORD0059"/>
    <d v="2025-01-04T00:00:00"/>
    <x v="2"/>
    <x v="1"/>
    <n v="150"/>
    <n v="2"/>
    <n v="300"/>
    <x v="7"/>
    <x v="3"/>
    <x v="2"/>
    <x v="0"/>
    <x v="5"/>
    <s v="Sat"/>
    <s v="Correct"/>
  </r>
  <r>
    <s v="ORD0060"/>
    <d v="2025-12-03T00:00:00"/>
    <x v="5"/>
    <x v="3"/>
    <n v="15"/>
    <n v="5"/>
    <n v="75"/>
    <x v="9"/>
    <x v="3"/>
    <x v="2"/>
    <x v="1"/>
    <x v="4"/>
    <s v="Wed"/>
    <s v="Correct"/>
  </r>
  <r>
    <s v="ORD0061"/>
    <d v="2025-11-03T00:00:00"/>
    <x v="9"/>
    <x v="4"/>
    <n v="1200"/>
    <n v="1"/>
    <n v="1200"/>
    <x v="9"/>
    <x v="0"/>
    <x v="3"/>
    <x v="0"/>
    <x v="11"/>
    <s v="Mon"/>
    <s v="Correct"/>
  </r>
  <r>
    <s v="ORD0062"/>
    <d v="2025-10-02T00:00:00"/>
    <x v="7"/>
    <x v="1"/>
    <n v="800"/>
    <n v="5"/>
    <n v="4000"/>
    <x v="3"/>
    <x v="1"/>
    <x v="3"/>
    <x v="2"/>
    <x v="2"/>
    <s v="Thu"/>
    <s v="Correct"/>
  </r>
  <r>
    <s v="ORD0063"/>
    <s v="30-03-2025"/>
    <x v="4"/>
    <x v="1"/>
    <n v="500"/>
    <n v="5"/>
    <n v="2500"/>
    <x v="0"/>
    <x v="5"/>
    <x v="4"/>
    <x v="2"/>
    <x v="0"/>
    <s v="Sun"/>
    <s v="Correct"/>
  </r>
  <r>
    <s v="ORD0064"/>
    <s v="13-02-2025"/>
    <x v="9"/>
    <x v="4"/>
    <n v="1200"/>
    <n v="4"/>
    <n v="4800"/>
    <x v="1"/>
    <x v="2"/>
    <x v="3"/>
    <x v="1"/>
    <x v="1"/>
    <s v="Thu"/>
    <s v="Correct"/>
  </r>
  <r>
    <s v="ORD0065"/>
    <s v="16-03-2025"/>
    <x v="5"/>
    <x v="3"/>
    <n v="15"/>
    <n v="3"/>
    <n v="45"/>
    <x v="0"/>
    <x v="1"/>
    <x v="1"/>
    <x v="1"/>
    <x v="0"/>
    <s v="Sun"/>
    <s v="Correct"/>
  </r>
  <r>
    <s v="ORD0066"/>
    <s v="14-03-2025"/>
    <x v="2"/>
    <x v="1"/>
    <n v="150"/>
    <n v="2"/>
    <n v="300"/>
    <x v="6"/>
    <x v="2"/>
    <x v="3"/>
    <x v="1"/>
    <x v="0"/>
    <s v="Fri"/>
    <s v="Correct"/>
  </r>
  <r>
    <s v="ORD0067"/>
    <s v="31-03-2025"/>
    <x v="1"/>
    <x v="1"/>
    <n v="100"/>
    <n v="3"/>
    <n v="300"/>
    <x v="8"/>
    <x v="0"/>
    <x v="0"/>
    <x v="1"/>
    <x v="0"/>
    <s v="Mon"/>
    <s v="Correct"/>
  </r>
  <r>
    <s v="ORD0068"/>
    <s v="23-02-2025"/>
    <x v="1"/>
    <x v="1"/>
    <n v="100"/>
    <n v="1"/>
    <n v="100"/>
    <x v="5"/>
    <x v="4"/>
    <x v="0"/>
    <x v="0"/>
    <x v="1"/>
    <s v="Sun"/>
    <s v="Correct"/>
  </r>
  <r>
    <s v="ORD0069"/>
    <s v="25-02-2025"/>
    <x v="9"/>
    <x v="4"/>
    <n v="1200"/>
    <n v="4"/>
    <n v="4800"/>
    <x v="5"/>
    <x v="6"/>
    <x v="4"/>
    <x v="1"/>
    <x v="1"/>
    <s v="Tue"/>
    <s v="Correct"/>
  </r>
  <r>
    <s v="ORD0070"/>
    <d v="2025-10-03T00:00:00"/>
    <x v="5"/>
    <x v="3"/>
    <n v="15"/>
    <n v="1"/>
    <n v="15"/>
    <x v="1"/>
    <x v="6"/>
    <x v="2"/>
    <x v="2"/>
    <x v="2"/>
    <s v="Fri"/>
    <s v="Correct"/>
  </r>
  <r>
    <s v="ORD0071"/>
    <s v="16-03-2025"/>
    <x v="2"/>
    <x v="1"/>
    <n v="150"/>
    <n v="5"/>
    <n v="750"/>
    <x v="2"/>
    <x v="2"/>
    <x v="2"/>
    <x v="1"/>
    <x v="0"/>
    <s v="Sun"/>
    <s v="Correct"/>
  </r>
  <r>
    <s v="ORD0072"/>
    <d v="2025-07-03T00:00:00"/>
    <x v="7"/>
    <x v="1"/>
    <n v="800"/>
    <n v="3"/>
    <n v="2400"/>
    <x v="7"/>
    <x v="4"/>
    <x v="2"/>
    <x v="1"/>
    <x v="7"/>
    <s v="Thu"/>
    <s v="Correct"/>
  </r>
  <r>
    <s v="ORD0073"/>
    <s v="20-02-2025"/>
    <x v="4"/>
    <x v="1"/>
    <n v="500"/>
    <n v="5"/>
    <n v="2500"/>
    <x v="1"/>
    <x v="5"/>
    <x v="2"/>
    <x v="0"/>
    <x v="1"/>
    <s v="Thu"/>
    <s v="Correct"/>
  </r>
  <r>
    <s v="ORD0074"/>
    <s v="25-03-2025"/>
    <x v="9"/>
    <x v="4"/>
    <n v="1200"/>
    <n v="4"/>
    <n v="4800"/>
    <x v="9"/>
    <x v="3"/>
    <x v="4"/>
    <x v="0"/>
    <x v="0"/>
    <s v="Tue"/>
    <s v="Correct"/>
  </r>
  <r>
    <s v="ORD0075"/>
    <s v="26-02-2025"/>
    <x v="1"/>
    <x v="1"/>
    <n v="100"/>
    <n v="2"/>
    <n v="200"/>
    <x v="7"/>
    <x v="6"/>
    <x v="3"/>
    <x v="1"/>
    <x v="1"/>
    <s v="Wed"/>
    <s v="Correct"/>
  </r>
  <r>
    <s v="ORD0076"/>
    <s v="24-02-2025"/>
    <x v="8"/>
    <x v="4"/>
    <n v="600"/>
    <n v="1"/>
    <n v="600"/>
    <x v="9"/>
    <x v="3"/>
    <x v="1"/>
    <x v="2"/>
    <x v="1"/>
    <s v="Mon"/>
    <s v="Correct"/>
  </r>
  <r>
    <s v="ORD0077"/>
    <s v="20-03-2025"/>
    <x v="1"/>
    <x v="1"/>
    <n v="100"/>
    <n v="2"/>
    <n v="200"/>
    <x v="7"/>
    <x v="4"/>
    <x v="2"/>
    <x v="2"/>
    <x v="0"/>
    <s v="Thu"/>
    <s v="Correct"/>
  </r>
  <r>
    <s v="ORD0078"/>
    <s v="18-03-2025"/>
    <x v="2"/>
    <x v="1"/>
    <n v="150"/>
    <n v="2"/>
    <n v="300"/>
    <x v="0"/>
    <x v="8"/>
    <x v="4"/>
    <x v="0"/>
    <x v="0"/>
    <s v="Tue"/>
    <s v="Correct"/>
  </r>
  <r>
    <s v="ORD0079"/>
    <d v="2025-09-03T00:00:00"/>
    <x v="0"/>
    <x v="0"/>
    <n v="60"/>
    <n v="2"/>
    <n v="120"/>
    <x v="1"/>
    <x v="2"/>
    <x v="4"/>
    <x v="0"/>
    <x v="9"/>
    <s v="Wed"/>
    <s v="Correct"/>
  </r>
  <r>
    <s v="ORD0080"/>
    <s v="23-02-2025"/>
    <x v="0"/>
    <x v="0"/>
    <n v="60"/>
    <n v="4"/>
    <n v="240"/>
    <x v="4"/>
    <x v="1"/>
    <x v="0"/>
    <x v="1"/>
    <x v="1"/>
    <s v="Sun"/>
    <s v="Correct"/>
  </r>
  <r>
    <s v="ORD0081"/>
    <s v="26-02-2025"/>
    <x v="1"/>
    <x v="1"/>
    <n v="100"/>
    <n v="3"/>
    <n v="300"/>
    <x v="6"/>
    <x v="9"/>
    <x v="3"/>
    <x v="0"/>
    <x v="1"/>
    <s v="Wed"/>
    <s v="Correct"/>
  </r>
  <r>
    <s v="ORD0082"/>
    <s v="24-02-2025"/>
    <x v="4"/>
    <x v="1"/>
    <n v="500"/>
    <n v="3"/>
    <n v="1500"/>
    <x v="9"/>
    <x v="7"/>
    <x v="0"/>
    <x v="0"/>
    <x v="1"/>
    <s v="Mon"/>
    <s v="Correct"/>
  </r>
  <r>
    <s v="ORD0083"/>
    <s v="28-02-2025"/>
    <x v="8"/>
    <x v="4"/>
    <n v="600"/>
    <n v="4"/>
    <n v="2400"/>
    <x v="0"/>
    <x v="4"/>
    <x v="4"/>
    <x v="0"/>
    <x v="1"/>
    <s v="Fri"/>
    <s v="Correct"/>
  </r>
  <r>
    <s v="ORD0084"/>
    <s v="14-02-2025"/>
    <x v="3"/>
    <x v="2"/>
    <n v="20"/>
    <n v="5"/>
    <n v="100"/>
    <x v="3"/>
    <x v="6"/>
    <x v="3"/>
    <x v="2"/>
    <x v="1"/>
    <s v="Fri"/>
    <s v="Correct"/>
  </r>
  <r>
    <s v="ORD0085"/>
    <d v="2025-06-02T00:00:00"/>
    <x v="4"/>
    <x v="1"/>
    <n v="500"/>
    <n v="5"/>
    <n v="2500"/>
    <x v="6"/>
    <x v="4"/>
    <x v="3"/>
    <x v="2"/>
    <x v="10"/>
    <s v="Mon"/>
    <s v="Correct"/>
  </r>
  <r>
    <s v="ORD0086"/>
    <s v="25-02-2025"/>
    <x v="2"/>
    <x v="1"/>
    <n v="150"/>
    <n v="5"/>
    <n v="750"/>
    <x v="9"/>
    <x v="3"/>
    <x v="3"/>
    <x v="0"/>
    <x v="1"/>
    <s v="Tue"/>
    <s v="Correct"/>
  </r>
  <r>
    <s v="ORD0087"/>
    <s v="13-03-2025"/>
    <x v="0"/>
    <x v="0"/>
    <n v="60"/>
    <n v="5"/>
    <n v="300"/>
    <x v="0"/>
    <x v="5"/>
    <x v="0"/>
    <x v="2"/>
    <x v="0"/>
    <s v="Thu"/>
    <s v="Correct"/>
  </r>
  <r>
    <s v="ORD0088"/>
    <d v="2025-06-02T00:00:00"/>
    <x v="9"/>
    <x v="4"/>
    <n v="1200"/>
    <n v="2"/>
    <n v="2400"/>
    <x v="8"/>
    <x v="7"/>
    <x v="0"/>
    <x v="1"/>
    <x v="10"/>
    <s v="Mon"/>
    <s v="Correct"/>
  </r>
  <r>
    <s v="ORD0089"/>
    <s v="26-03-2025"/>
    <x v="0"/>
    <x v="0"/>
    <n v="60"/>
    <n v="5"/>
    <n v="300"/>
    <x v="0"/>
    <x v="8"/>
    <x v="2"/>
    <x v="0"/>
    <x v="0"/>
    <s v="Wed"/>
    <s v="Correct"/>
  </r>
  <r>
    <s v="ORD0090"/>
    <s v="24-03-2025"/>
    <x v="2"/>
    <x v="1"/>
    <n v="150"/>
    <n v="5"/>
    <n v="750"/>
    <x v="1"/>
    <x v="4"/>
    <x v="1"/>
    <x v="2"/>
    <x v="0"/>
    <s v="Mon"/>
    <s v="Correct"/>
  </r>
  <r>
    <s v="ORD0091"/>
    <d v="2025-03-02T00:00:00"/>
    <x v="7"/>
    <x v="1"/>
    <n v="800"/>
    <n v="4"/>
    <n v="3200"/>
    <x v="7"/>
    <x v="4"/>
    <x v="4"/>
    <x v="1"/>
    <x v="0"/>
    <s v="Sun"/>
    <s v="Correct"/>
  </r>
  <r>
    <s v="ORD0092"/>
    <s v="15-03-2025"/>
    <x v="4"/>
    <x v="1"/>
    <n v="500"/>
    <n v="2"/>
    <n v="1000"/>
    <x v="3"/>
    <x v="6"/>
    <x v="3"/>
    <x v="0"/>
    <x v="0"/>
    <s v="Sat"/>
    <s v="Correct"/>
  </r>
  <r>
    <s v="ORD0093"/>
    <d v="2025-06-03T00:00:00"/>
    <x v="9"/>
    <x v="4"/>
    <n v="1200"/>
    <n v="5"/>
    <n v="6000"/>
    <x v="5"/>
    <x v="2"/>
    <x v="3"/>
    <x v="0"/>
    <x v="10"/>
    <s v="Tue"/>
    <s v="Correct"/>
  </r>
  <r>
    <s v="ORD0094"/>
    <s v="25-03-2025"/>
    <x v="6"/>
    <x v="2"/>
    <n v="40"/>
    <n v="5"/>
    <n v="200"/>
    <x v="7"/>
    <x v="7"/>
    <x v="2"/>
    <x v="0"/>
    <x v="0"/>
    <s v="Tue"/>
    <s v="Correct"/>
  </r>
  <r>
    <s v="ORD0095"/>
    <s v="17-02-2025"/>
    <x v="2"/>
    <x v="1"/>
    <n v="150"/>
    <n v="4"/>
    <n v="600"/>
    <x v="8"/>
    <x v="0"/>
    <x v="0"/>
    <x v="0"/>
    <x v="1"/>
    <s v="Mon"/>
    <s v="Correct"/>
  </r>
  <r>
    <s v="ORD0096"/>
    <s v="30-03-2025"/>
    <x v="2"/>
    <x v="1"/>
    <n v="150"/>
    <n v="3"/>
    <n v="450"/>
    <x v="9"/>
    <x v="0"/>
    <x v="1"/>
    <x v="2"/>
    <x v="0"/>
    <s v="Sun"/>
    <s v="Correct"/>
  </r>
  <r>
    <s v="ORD0097"/>
    <s v="25-03-2025"/>
    <x v="5"/>
    <x v="3"/>
    <n v="15"/>
    <n v="5"/>
    <n v="75"/>
    <x v="3"/>
    <x v="9"/>
    <x v="1"/>
    <x v="1"/>
    <x v="0"/>
    <s v="Tue"/>
    <s v="Correct"/>
  </r>
  <r>
    <s v="ORD0098"/>
    <s v="14-02-2025"/>
    <x v="2"/>
    <x v="1"/>
    <n v="150"/>
    <n v="2"/>
    <n v="300"/>
    <x v="8"/>
    <x v="5"/>
    <x v="3"/>
    <x v="1"/>
    <x v="1"/>
    <s v="Fri"/>
    <s v="Correct"/>
  </r>
  <r>
    <s v="ORD0099"/>
    <s v="18-02-2025"/>
    <x v="8"/>
    <x v="4"/>
    <n v="600"/>
    <n v="5"/>
    <n v="3000"/>
    <x v="6"/>
    <x v="7"/>
    <x v="0"/>
    <x v="2"/>
    <x v="1"/>
    <s v="Tue"/>
    <s v="Correct"/>
  </r>
  <r>
    <s v="ORD0100"/>
    <s v="13-02-2025"/>
    <x v="0"/>
    <x v="0"/>
    <n v="60"/>
    <n v="1"/>
    <n v="60"/>
    <x v="9"/>
    <x v="4"/>
    <x v="4"/>
    <x v="0"/>
    <x v="1"/>
    <s v="Thu"/>
    <s v="Correct"/>
  </r>
  <r>
    <s v="ORD0101"/>
    <s v="20-02-2025"/>
    <x v="5"/>
    <x v="3"/>
    <n v="15"/>
    <n v="5"/>
    <n v="75"/>
    <x v="2"/>
    <x v="2"/>
    <x v="3"/>
    <x v="1"/>
    <x v="1"/>
    <s v="Thu"/>
    <s v="Correct"/>
  </r>
  <r>
    <s v="ORD0102"/>
    <s v="28-02-2025"/>
    <x v="4"/>
    <x v="1"/>
    <n v="500"/>
    <n v="2"/>
    <n v="1000"/>
    <x v="5"/>
    <x v="6"/>
    <x v="3"/>
    <x v="1"/>
    <x v="1"/>
    <s v="Fri"/>
    <s v="Correct"/>
  </r>
  <r>
    <s v="ORD0103"/>
    <s v="14-03-2025"/>
    <x v="3"/>
    <x v="2"/>
    <n v="20"/>
    <n v="2"/>
    <n v="40"/>
    <x v="6"/>
    <x v="9"/>
    <x v="3"/>
    <x v="1"/>
    <x v="0"/>
    <s v="Fri"/>
    <s v="Correct"/>
  </r>
  <r>
    <s v="ORD0104"/>
    <s v="22-02-2025"/>
    <x v="6"/>
    <x v="2"/>
    <n v="40"/>
    <n v="5"/>
    <n v="200"/>
    <x v="9"/>
    <x v="3"/>
    <x v="0"/>
    <x v="1"/>
    <x v="1"/>
    <s v="Sat"/>
    <s v="Correct"/>
  </r>
  <r>
    <s v="ORD0105"/>
    <s v="16-03-2025"/>
    <x v="6"/>
    <x v="2"/>
    <n v="40"/>
    <n v="1"/>
    <n v="40"/>
    <x v="9"/>
    <x v="6"/>
    <x v="0"/>
    <x v="1"/>
    <x v="0"/>
    <s v="Sun"/>
    <s v="Correct"/>
  </r>
  <r>
    <s v="ORD0106"/>
    <s v="15-03-2025"/>
    <x v="3"/>
    <x v="2"/>
    <n v="20"/>
    <n v="3"/>
    <n v="60"/>
    <x v="3"/>
    <x v="9"/>
    <x v="3"/>
    <x v="1"/>
    <x v="0"/>
    <s v="Sat"/>
    <s v="Correct"/>
  </r>
  <r>
    <s v="ORD0107"/>
    <s v="19-03-2025"/>
    <x v="6"/>
    <x v="2"/>
    <n v="40"/>
    <n v="3"/>
    <n v="120"/>
    <x v="3"/>
    <x v="3"/>
    <x v="2"/>
    <x v="0"/>
    <x v="0"/>
    <s v="Wed"/>
    <s v="Correct"/>
  </r>
  <r>
    <s v="ORD0108"/>
    <s v="16-03-2025"/>
    <x v="1"/>
    <x v="1"/>
    <n v="100"/>
    <n v="2"/>
    <n v="200"/>
    <x v="7"/>
    <x v="5"/>
    <x v="3"/>
    <x v="1"/>
    <x v="0"/>
    <s v="Sun"/>
    <s v="Correct"/>
  </r>
  <r>
    <s v="ORD0109"/>
    <s v="17-03-2025"/>
    <x v="6"/>
    <x v="2"/>
    <n v="40"/>
    <n v="5"/>
    <n v="200"/>
    <x v="6"/>
    <x v="0"/>
    <x v="3"/>
    <x v="2"/>
    <x v="0"/>
    <s v="Mon"/>
    <s v="Correct"/>
  </r>
  <r>
    <s v="ORD0110"/>
    <s v="18-02-2025"/>
    <x v="4"/>
    <x v="1"/>
    <n v="500"/>
    <n v="5"/>
    <n v="2500"/>
    <x v="3"/>
    <x v="3"/>
    <x v="1"/>
    <x v="1"/>
    <x v="1"/>
    <s v="Tue"/>
    <s v="Correct"/>
  </r>
  <r>
    <s v="ORD0111"/>
    <s v="31-03-2025"/>
    <x v="7"/>
    <x v="1"/>
    <n v="800"/>
    <n v="4"/>
    <n v="3200"/>
    <x v="0"/>
    <x v="8"/>
    <x v="2"/>
    <x v="2"/>
    <x v="0"/>
    <s v="Mon"/>
    <s v="Correct"/>
  </r>
  <r>
    <s v="ORD0112"/>
    <d v="2025-06-03T00:00:00"/>
    <x v="8"/>
    <x v="4"/>
    <n v="600"/>
    <n v="2"/>
    <n v="1200"/>
    <x v="5"/>
    <x v="3"/>
    <x v="4"/>
    <x v="0"/>
    <x v="10"/>
    <s v="Tue"/>
    <s v="Correct"/>
  </r>
  <r>
    <s v="ORD0113"/>
    <s v="19-03-2025"/>
    <x v="5"/>
    <x v="3"/>
    <n v="15"/>
    <n v="5"/>
    <n v="75"/>
    <x v="5"/>
    <x v="1"/>
    <x v="0"/>
    <x v="1"/>
    <x v="0"/>
    <s v="Wed"/>
    <s v="Correct"/>
  </r>
  <r>
    <s v="ORD0114"/>
    <s v="23-02-2025"/>
    <x v="0"/>
    <x v="0"/>
    <n v="60"/>
    <n v="1"/>
    <n v="60"/>
    <x v="0"/>
    <x v="4"/>
    <x v="2"/>
    <x v="1"/>
    <x v="1"/>
    <s v="Sun"/>
    <s v="Correct"/>
  </r>
  <r>
    <s v="ORD0115"/>
    <s v="21-03-2025"/>
    <x v="0"/>
    <x v="0"/>
    <n v="60"/>
    <n v="3"/>
    <n v="180"/>
    <x v="3"/>
    <x v="5"/>
    <x v="1"/>
    <x v="2"/>
    <x v="0"/>
    <s v="Fri"/>
    <s v="Correct"/>
  </r>
  <r>
    <s v="ORD0116"/>
    <s v="19-03-2025"/>
    <x v="7"/>
    <x v="1"/>
    <n v="800"/>
    <n v="4"/>
    <n v="3200"/>
    <x v="0"/>
    <x v="8"/>
    <x v="1"/>
    <x v="2"/>
    <x v="0"/>
    <s v="Wed"/>
    <s v="Correct"/>
  </r>
  <r>
    <s v="ORD0117"/>
    <s v="27-02-2025"/>
    <x v="3"/>
    <x v="2"/>
    <n v="20"/>
    <n v="1"/>
    <n v="20"/>
    <x v="7"/>
    <x v="0"/>
    <x v="2"/>
    <x v="2"/>
    <x v="1"/>
    <s v="Thu"/>
    <s v="Correct"/>
  </r>
  <r>
    <s v="ORD0118"/>
    <d v="2025-10-02T00:00:00"/>
    <x v="1"/>
    <x v="1"/>
    <n v="100"/>
    <n v="5"/>
    <n v="500"/>
    <x v="2"/>
    <x v="4"/>
    <x v="1"/>
    <x v="2"/>
    <x v="2"/>
    <s v="Thu"/>
    <s v="Correct"/>
  </r>
  <r>
    <s v="ORD0119"/>
    <s v="16-03-2025"/>
    <x v="4"/>
    <x v="1"/>
    <n v="500"/>
    <n v="2"/>
    <n v="1000"/>
    <x v="8"/>
    <x v="9"/>
    <x v="3"/>
    <x v="1"/>
    <x v="0"/>
    <s v="Sun"/>
    <s v="Correct"/>
  </r>
  <r>
    <s v="ORD0120"/>
    <s v="16-02-2025"/>
    <x v="7"/>
    <x v="1"/>
    <n v="800"/>
    <n v="5"/>
    <n v="4000"/>
    <x v="1"/>
    <x v="2"/>
    <x v="3"/>
    <x v="2"/>
    <x v="1"/>
    <s v="Sun"/>
    <s v="Correct"/>
  </r>
  <r>
    <s v="ORD0121"/>
    <s v="18-02-2025"/>
    <x v="4"/>
    <x v="1"/>
    <n v="500"/>
    <n v="1"/>
    <n v="500"/>
    <x v="2"/>
    <x v="3"/>
    <x v="4"/>
    <x v="1"/>
    <x v="1"/>
    <s v="Tue"/>
    <s v="Correct"/>
  </r>
  <r>
    <s v="ORD0122"/>
    <s v="28-03-2025"/>
    <x v="7"/>
    <x v="1"/>
    <n v="800"/>
    <n v="3"/>
    <n v="2400"/>
    <x v="2"/>
    <x v="5"/>
    <x v="2"/>
    <x v="0"/>
    <x v="0"/>
    <s v="Fri"/>
    <s v="Correct"/>
  </r>
  <r>
    <s v="ORD0123"/>
    <s v="23-02-2025"/>
    <x v="5"/>
    <x v="3"/>
    <n v="15"/>
    <n v="3"/>
    <n v="45"/>
    <x v="8"/>
    <x v="6"/>
    <x v="4"/>
    <x v="0"/>
    <x v="1"/>
    <s v="Sun"/>
    <s v="Correct"/>
  </r>
  <r>
    <s v="ORD0124"/>
    <d v="2025-10-02T00:00:00"/>
    <x v="5"/>
    <x v="3"/>
    <n v="15"/>
    <n v="1"/>
    <n v="15"/>
    <x v="0"/>
    <x v="7"/>
    <x v="4"/>
    <x v="1"/>
    <x v="2"/>
    <s v="Thu"/>
    <s v="Correct"/>
  </r>
  <r>
    <s v="ORD0125"/>
    <s v="23-02-2025"/>
    <x v="4"/>
    <x v="1"/>
    <n v="500"/>
    <n v="1"/>
    <n v="500"/>
    <x v="1"/>
    <x v="2"/>
    <x v="1"/>
    <x v="2"/>
    <x v="1"/>
    <s v="Sun"/>
    <s v="Correct"/>
  </r>
  <r>
    <s v="ORD0126"/>
    <d v="2025-04-02T00:00:00"/>
    <x v="9"/>
    <x v="4"/>
    <n v="1200"/>
    <n v="5"/>
    <n v="6000"/>
    <x v="3"/>
    <x v="9"/>
    <x v="4"/>
    <x v="1"/>
    <x v="6"/>
    <s v="Wed"/>
    <s v="Correct"/>
  </r>
  <r>
    <s v="ORD0127"/>
    <s v="18-02-2025"/>
    <x v="3"/>
    <x v="2"/>
    <n v="20"/>
    <n v="3"/>
    <n v="60"/>
    <x v="0"/>
    <x v="3"/>
    <x v="0"/>
    <x v="2"/>
    <x v="1"/>
    <s v="Tue"/>
    <s v="Correct"/>
  </r>
  <r>
    <s v="ORD0128"/>
    <s v="23-03-2025"/>
    <x v="2"/>
    <x v="1"/>
    <n v="150"/>
    <n v="2"/>
    <n v="300"/>
    <x v="1"/>
    <x v="3"/>
    <x v="3"/>
    <x v="0"/>
    <x v="0"/>
    <s v="Sun"/>
    <s v="Correct"/>
  </r>
  <r>
    <s v="ORD0129"/>
    <s v="26-02-2025"/>
    <x v="6"/>
    <x v="2"/>
    <n v="40"/>
    <n v="5"/>
    <n v="200"/>
    <x v="1"/>
    <x v="0"/>
    <x v="0"/>
    <x v="1"/>
    <x v="1"/>
    <s v="Wed"/>
    <s v="Correct"/>
  </r>
  <r>
    <s v="ORD0130"/>
    <d v="2025-10-02T00:00:00"/>
    <x v="2"/>
    <x v="1"/>
    <n v="150"/>
    <n v="5"/>
    <n v="750"/>
    <x v="5"/>
    <x v="6"/>
    <x v="3"/>
    <x v="2"/>
    <x v="2"/>
    <s v="Thu"/>
    <s v="Correct"/>
  </r>
  <r>
    <s v="ORD0131"/>
    <s v="26-02-2025"/>
    <x v="6"/>
    <x v="2"/>
    <n v="40"/>
    <n v="2"/>
    <n v="80"/>
    <x v="7"/>
    <x v="9"/>
    <x v="2"/>
    <x v="1"/>
    <x v="1"/>
    <s v="Wed"/>
    <s v="Correct"/>
  </r>
  <r>
    <s v="ORD0132"/>
    <d v="2025-07-03T00:00:00"/>
    <x v="4"/>
    <x v="1"/>
    <n v="500"/>
    <n v="2"/>
    <n v="1000"/>
    <x v="3"/>
    <x v="9"/>
    <x v="0"/>
    <x v="1"/>
    <x v="7"/>
    <s v="Thu"/>
    <s v="Correct"/>
  </r>
  <r>
    <s v="ORD0133"/>
    <s v="23-02-2025"/>
    <x v="7"/>
    <x v="1"/>
    <n v="800"/>
    <n v="1"/>
    <n v="800"/>
    <x v="1"/>
    <x v="0"/>
    <x v="1"/>
    <x v="1"/>
    <x v="1"/>
    <s v="Sun"/>
    <s v="Correct"/>
  </r>
  <r>
    <s v="ORD0134"/>
    <d v="2025-07-02T00:00:00"/>
    <x v="4"/>
    <x v="1"/>
    <n v="500"/>
    <n v="5"/>
    <n v="2500"/>
    <x v="5"/>
    <x v="9"/>
    <x v="4"/>
    <x v="1"/>
    <x v="7"/>
    <s v="Wed"/>
    <s v="Correct"/>
  </r>
  <r>
    <s v="ORD0135"/>
    <d v="2025-10-02T00:00:00"/>
    <x v="3"/>
    <x v="2"/>
    <n v="20"/>
    <n v="1"/>
    <n v="20"/>
    <x v="3"/>
    <x v="5"/>
    <x v="2"/>
    <x v="1"/>
    <x v="2"/>
    <s v="Thu"/>
    <s v="Correct"/>
  </r>
  <r>
    <s v="ORD0136"/>
    <d v="2025-11-02T00:00:00"/>
    <x v="9"/>
    <x v="4"/>
    <n v="1200"/>
    <n v="2"/>
    <n v="2400"/>
    <x v="7"/>
    <x v="1"/>
    <x v="3"/>
    <x v="0"/>
    <x v="11"/>
    <s v="Sun"/>
    <s v="Correct"/>
  </r>
  <r>
    <s v="ORD0137"/>
    <s v="20-03-2025"/>
    <x v="2"/>
    <x v="1"/>
    <n v="150"/>
    <n v="3"/>
    <n v="450"/>
    <x v="4"/>
    <x v="1"/>
    <x v="0"/>
    <x v="2"/>
    <x v="0"/>
    <s v="Thu"/>
    <s v="Correct"/>
  </r>
  <r>
    <s v="ORD0138"/>
    <d v="2025-11-02T00:00:00"/>
    <x v="2"/>
    <x v="1"/>
    <n v="150"/>
    <n v="5"/>
    <n v="750"/>
    <x v="2"/>
    <x v="8"/>
    <x v="2"/>
    <x v="0"/>
    <x v="11"/>
    <s v="Sun"/>
    <s v="Correct"/>
  </r>
  <r>
    <s v="ORD0139"/>
    <s v="18-03-2025"/>
    <x v="7"/>
    <x v="1"/>
    <n v="800"/>
    <n v="2"/>
    <n v="1600"/>
    <x v="6"/>
    <x v="2"/>
    <x v="3"/>
    <x v="0"/>
    <x v="0"/>
    <s v="Tue"/>
    <s v="Correct"/>
  </r>
  <r>
    <s v="ORD0140"/>
    <s v="19-03-2025"/>
    <x v="2"/>
    <x v="1"/>
    <n v="150"/>
    <n v="2"/>
    <n v="300"/>
    <x v="3"/>
    <x v="5"/>
    <x v="0"/>
    <x v="2"/>
    <x v="0"/>
    <s v="Wed"/>
    <s v="Correct"/>
  </r>
  <r>
    <s v="ORD0141"/>
    <s v="21-03-2025"/>
    <x v="4"/>
    <x v="1"/>
    <n v="500"/>
    <n v="2"/>
    <n v="1000"/>
    <x v="2"/>
    <x v="5"/>
    <x v="3"/>
    <x v="2"/>
    <x v="0"/>
    <s v="Fri"/>
    <s v="Correct"/>
  </r>
  <r>
    <s v="ORD0142"/>
    <s v="15-03-2025"/>
    <x v="4"/>
    <x v="1"/>
    <n v="500"/>
    <n v="3"/>
    <n v="1500"/>
    <x v="4"/>
    <x v="5"/>
    <x v="4"/>
    <x v="2"/>
    <x v="0"/>
    <s v="Sat"/>
    <s v="Correct"/>
  </r>
  <r>
    <s v="ORD0143"/>
    <s v="31-03-2025"/>
    <x v="9"/>
    <x v="4"/>
    <n v="1200"/>
    <n v="2"/>
    <n v="2400"/>
    <x v="9"/>
    <x v="3"/>
    <x v="3"/>
    <x v="0"/>
    <x v="0"/>
    <s v="Mon"/>
    <s v="Correct"/>
  </r>
  <r>
    <s v="ORD0144"/>
    <s v="27-02-2025"/>
    <x v="6"/>
    <x v="2"/>
    <n v="40"/>
    <n v="2"/>
    <n v="80"/>
    <x v="6"/>
    <x v="8"/>
    <x v="4"/>
    <x v="0"/>
    <x v="1"/>
    <s v="Thu"/>
    <s v="Correct"/>
  </r>
  <r>
    <s v="ORD0145"/>
    <d v="2025-08-03T00:00:00"/>
    <x v="2"/>
    <x v="1"/>
    <n v="150"/>
    <n v="2"/>
    <n v="300"/>
    <x v="6"/>
    <x v="7"/>
    <x v="0"/>
    <x v="0"/>
    <x v="3"/>
    <s v="Sun"/>
    <s v="Correct"/>
  </r>
  <r>
    <s v="ORD0146"/>
    <s v="25-03-2025"/>
    <x v="2"/>
    <x v="1"/>
    <n v="150"/>
    <n v="2"/>
    <n v="300"/>
    <x v="0"/>
    <x v="6"/>
    <x v="0"/>
    <x v="2"/>
    <x v="0"/>
    <s v="Tue"/>
    <s v="Correct"/>
  </r>
  <r>
    <s v="ORD0147"/>
    <d v="2025-05-02T00:00:00"/>
    <x v="0"/>
    <x v="0"/>
    <n v="60"/>
    <n v="5"/>
    <n v="300"/>
    <x v="9"/>
    <x v="3"/>
    <x v="3"/>
    <x v="1"/>
    <x v="8"/>
    <s v="Fri"/>
    <s v="Correct"/>
  </r>
  <r>
    <s v="ORD0148"/>
    <d v="2025-06-02T00:00:00"/>
    <x v="1"/>
    <x v="1"/>
    <n v="100"/>
    <n v="4"/>
    <n v="400"/>
    <x v="1"/>
    <x v="8"/>
    <x v="1"/>
    <x v="0"/>
    <x v="10"/>
    <s v="Mon"/>
    <s v="Correct"/>
  </r>
  <r>
    <s v="ORD0149"/>
    <s v="20-03-2025"/>
    <x v="0"/>
    <x v="0"/>
    <n v="60"/>
    <n v="3"/>
    <n v="180"/>
    <x v="6"/>
    <x v="0"/>
    <x v="4"/>
    <x v="1"/>
    <x v="0"/>
    <s v="Thu"/>
    <s v="Correct"/>
  </r>
  <r>
    <s v="ORD0150"/>
    <d v="2025-08-02T00:00:00"/>
    <x v="5"/>
    <x v="3"/>
    <n v="15"/>
    <n v="4"/>
    <n v="60"/>
    <x v="7"/>
    <x v="9"/>
    <x v="4"/>
    <x v="0"/>
    <x v="3"/>
    <s v="Sat"/>
    <s v="Correct"/>
  </r>
  <r>
    <s v="ORD0151"/>
    <s v="29-03-2025"/>
    <x v="8"/>
    <x v="4"/>
    <n v="600"/>
    <n v="4"/>
    <n v="2400"/>
    <x v="9"/>
    <x v="8"/>
    <x v="1"/>
    <x v="1"/>
    <x v="0"/>
    <s v="Sat"/>
    <s v="Correct"/>
  </r>
  <r>
    <s v="ORD0152"/>
    <s v="28-02-2025"/>
    <x v="2"/>
    <x v="1"/>
    <n v="150"/>
    <n v="1"/>
    <n v="150"/>
    <x v="2"/>
    <x v="7"/>
    <x v="4"/>
    <x v="2"/>
    <x v="1"/>
    <s v="Fri"/>
    <s v="Correct"/>
  </r>
  <r>
    <s v="ORD0153"/>
    <s v="23-02-2025"/>
    <x v="2"/>
    <x v="1"/>
    <n v="150"/>
    <n v="5"/>
    <n v="750"/>
    <x v="4"/>
    <x v="1"/>
    <x v="3"/>
    <x v="1"/>
    <x v="1"/>
    <s v="Sun"/>
    <s v="Correct"/>
  </r>
  <r>
    <s v="ORD0154"/>
    <d v="2025-01-03T00:00:00"/>
    <x v="1"/>
    <x v="1"/>
    <n v="100"/>
    <n v="2"/>
    <n v="200"/>
    <x v="2"/>
    <x v="2"/>
    <x v="0"/>
    <x v="2"/>
    <x v="5"/>
    <s v="Fri"/>
    <s v="Correct"/>
  </r>
  <r>
    <s v="ORD0155"/>
    <d v="2025-05-02T00:00:00"/>
    <x v="9"/>
    <x v="4"/>
    <n v="1200"/>
    <n v="4"/>
    <n v="4800"/>
    <x v="4"/>
    <x v="7"/>
    <x v="2"/>
    <x v="1"/>
    <x v="8"/>
    <s v="Fri"/>
    <s v="Correct"/>
  </r>
  <r>
    <s v="ORD0156"/>
    <s v="16-03-2025"/>
    <x v="2"/>
    <x v="1"/>
    <n v="150"/>
    <n v="4"/>
    <n v="600"/>
    <x v="3"/>
    <x v="5"/>
    <x v="3"/>
    <x v="0"/>
    <x v="0"/>
    <s v="Sun"/>
    <s v="Correct"/>
  </r>
  <r>
    <s v="ORD0157"/>
    <d v="2025-08-02T00:00:00"/>
    <x v="4"/>
    <x v="1"/>
    <n v="500"/>
    <n v="3"/>
    <n v="1500"/>
    <x v="4"/>
    <x v="2"/>
    <x v="2"/>
    <x v="1"/>
    <x v="3"/>
    <s v="Sat"/>
    <s v="Correct"/>
  </r>
  <r>
    <s v="ORD0158"/>
    <s v="24-02-2025"/>
    <x v="7"/>
    <x v="1"/>
    <n v="800"/>
    <n v="3"/>
    <n v="2400"/>
    <x v="8"/>
    <x v="5"/>
    <x v="0"/>
    <x v="1"/>
    <x v="1"/>
    <s v="Mon"/>
    <s v="Correct"/>
  </r>
  <r>
    <s v="ORD0159"/>
    <s v="16-02-2025"/>
    <x v="3"/>
    <x v="2"/>
    <n v="20"/>
    <n v="2"/>
    <n v="40"/>
    <x v="5"/>
    <x v="3"/>
    <x v="4"/>
    <x v="0"/>
    <x v="1"/>
    <s v="Sun"/>
    <s v="Correct"/>
  </r>
  <r>
    <s v="ORD0160"/>
    <d v="2025-06-02T00:00:00"/>
    <x v="8"/>
    <x v="4"/>
    <n v="600"/>
    <n v="3"/>
    <n v="1800"/>
    <x v="3"/>
    <x v="2"/>
    <x v="4"/>
    <x v="0"/>
    <x v="10"/>
    <s v="Mon"/>
    <s v="Correct"/>
  </r>
  <r>
    <s v="ORD0161"/>
    <s v="22-02-2025"/>
    <x v="1"/>
    <x v="1"/>
    <n v="100"/>
    <n v="1"/>
    <n v="100"/>
    <x v="1"/>
    <x v="8"/>
    <x v="2"/>
    <x v="2"/>
    <x v="1"/>
    <s v="Sat"/>
    <s v="Correct"/>
  </r>
  <r>
    <s v="ORD0162"/>
    <d v="2025-09-02T00:00:00"/>
    <x v="4"/>
    <x v="1"/>
    <n v="500"/>
    <n v="2"/>
    <n v="1000"/>
    <x v="3"/>
    <x v="9"/>
    <x v="2"/>
    <x v="2"/>
    <x v="9"/>
    <s v="Tue"/>
    <s v="Correct"/>
  </r>
  <r>
    <s v="ORD0163"/>
    <s v="20-02-2025"/>
    <x v="0"/>
    <x v="0"/>
    <n v="60"/>
    <n v="2"/>
    <n v="120"/>
    <x v="8"/>
    <x v="4"/>
    <x v="3"/>
    <x v="2"/>
    <x v="1"/>
    <s v="Thu"/>
    <s v="Correct"/>
  </r>
  <r>
    <s v="ORD0164"/>
    <s v="25-02-2025"/>
    <x v="2"/>
    <x v="1"/>
    <n v="150"/>
    <n v="5"/>
    <n v="750"/>
    <x v="6"/>
    <x v="6"/>
    <x v="0"/>
    <x v="1"/>
    <x v="1"/>
    <s v="Tue"/>
    <s v="Correct"/>
  </r>
  <r>
    <s v="ORD0165"/>
    <s v="14-03-2025"/>
    <x v="5"/>
    <x v="3"/>
    <n v="15"/>
    <n v="1"/>
    <n v="15"/>
    <x v="5"/>
    <x v="0"/>
    <x v="1"/>
    <x v="1"/>
    <x v="0"/>
    <s v="Fri"/>
    <s v="Correct"/>
  </r>
  <r>
    <s v="ORD0166"/>
    <s v="30-03-2025"/>
    <x v="8"/>
    <x v="4"/>
    <n v="600"/>
    <n v="4"/>
    <n v="2400"/>
    <x v="8"/>
    <x v="4"/>
    <x v="2"/>
    <x v="1"/>
    <x v="0"/>
    <s v="Sun"/>
    <s v="Correct"/>
  </r>
  <r>
    <s v="ORD0167"/>
    <s v="20-03-2025"/>
    <x v="9"/>
    <x v="4"/>
    <n v="1200"/>
    <n v="2"/>
    <n v="2400"/>
    <x v="3"/>
    <x v="7"/>
    <x v="2"/>
    <x v="2"/>
    <x v="0"/>
    <s v="Thu"/>
    <s v="Correct"/>
  </r>
  <r>
    <s v="ORD0168"/>
    <s v="24-03-2025"/>
    <x v="7"/>
    <x v="1"/>
    <n v="800"/>
    <n v="5"/>
    <n v="4000"/>
    <x v="6"/>
    <x v="5"/>
    <x v="0"/>
    <x v="1"/>
    <x v="0"/>
    <s v="Mon"/>
    <s v="Correct"/>
  </r>
  <r>
    <s v="ORD0169"/>
    <d v="2025-06-03T00:00:00"/>
    <x v="9"/>
    <x v="4"/>
    <n v="1200"/>
    <n v="2"/>
    <n v="2400"/>
    <x v="2"/>
    <x v="2"/>
    <x v="3"/>
    <x v="2"/>
    <x v="10"/>
    <s v="Tue"/>
    <s v="Correct"/>
  </r>
  <r>
    <s v="ORD0170"/>
    <s v="28-02-2025"/>
    <x v="7"/>
    <x v="1"/>
    <n v="800"/>
    <n v="1"/>
    <n v="800"/>
    <x v="0"/>
    <x v="1"/>
    <x v="4"/>
    <x v="1"/>
    <x v="1"/>
    <s v="Fri"/>
    <s v="Correct"/>
  </r>
  <r>
    <s v="ORD0171"/>
    <s v="28-02-2025"/>
    <x v="2"/>
    <x v="1"/>
    <n v="150"/>
    <n v="2"/>
    <n v="300"/>
    <x v="7"/>
    <x v="4"/>
    <x v="3"/>
    <x v="2"/>
    <x v="1"/>
    <s v="Fri"/>
    <s v="Correct"/>
  </r>
  <r>
    <s v="ORD0172"/>
    <d v="2025-12-03T00:00:00"/>
    <x v="5"/>
    <x v="3"/>
    <n v="15"/>
    <n v="1"/>
    <n v="15"/>
    <x v="5"/>
    <x v="5"/>
    <x v="0"/>
    <x v="0"/>
    <x v="4"/>
    <s v="Wed"/>
    <s v="Correct"/>
  </r>
  <r>
    <s v="ORD0173"/>
    <s v="28-02-2025"/>
    <x v="9"/>
    <x v="4"/>
    <n v="1200"/>
    <n v="1"/>
    <n v="1200"/>
    <x v="3"/>
    <x v="7"/>
    <x v="3"/>
    <x v="2"/>
    <x v="1"/>
    <s v="Fri"/>
    <s v="Correct"/>
  </r>
  <r>
    <s v="ORD0174"/>
    <s v="13-03-2025"/>
    <x v="2"/>
    <x v="1"/>
    <n v="150"/>
    <n v="2"/>
    <n v="300"/>
    <x v="5"/>
    <x v="9"/>
    <x v="0"/>
    <x v="1"/>
    <x v="0"/>
    <s v="Thu"/>
    <s v="Correct"/>
  </r>
  <r>
    <s v="ORD0175"/>
    <s v="24-03-2025"/>
    <x v="6"/>
    <x v="2"/>
    <n v="40"/>
    <n v="5"/>
    <n v="200"/>
    <x v="5"/>
    <x v="0"/>
    <x v="0"/>
    <x v="0"/>
    <x v="0"/>
    <s v="Mon"/>
    <s v="Correct"/>
  </r>
  <r>
    <s v="ORD0176"/>
    <s v="27-03-2025"/>
    <x v="5"/>
    <x v="3"/>
    <n v="15"/>
    <n v="1"/>
    <n v="15"/>
    <x v="6"/>
    <x v="6"/>
    <x v="1"/>
    <x v="2"/>
    <x v="0"/>
    <s v="Thu"/>
    <s v="Correct"/>
  </r>
  <r>
    <s v="ORD0177"/>
    <s v="14-03-2025"/>
    <x v="5"/>
    <x v="3"/>
    <n v="15"/>
    <n v="5"/>
    <n v="75"/>
    <x v="5"/>
    <x v="1"/>
    <x v="2"/>
    <x v="1"/>
    <x v="0"/>
    <s v="Fri"/>
    <s v="Correct"/>
  </r>
  <r>
    <s v="ORD0178"/>
    <d v="2025-06-02T00:00:00"/>
    <x v="4"/>
    <x v="1"/>
    <n v="500"/>
    <n v="3"/>
    <n v="1500"/>
    <x v="1"/>
    <x v="9"/>
    <x v="3"/>
    <x v="2"/>
    <x v="10"/>
    <s v="Mon"/>
    <s v="Correct"/>
  </r>
  <r>
    <s v="ORD0179"/>
    <s v="25-03-2025"/>
    <x v="6"/>
    <x v="2"/>
    <n v="40"/>
    <n v="1"/>
    <n v="40"/>
    <x v="3"/>
    <x v="7"/>
    <x v="3"/>
    <x v="0"/>
    <x v="0"/>
    <s v="Tue"/>
    <s v="Correct"/>
  </r>
  <r>
    <s v="ORD0180"/>
    <d v="2025-04-03T00:00:00"/>
    <x v="9"/>
    <x v="4"/>
    <n v="1200"/>
    <n v="3"/>
    <n v="3600"/>
    <x v="5"/>
    <x v="6"/>
    <x v="4"/>
    <x v="2"/>
    <x v="6"/>
    <s v="Thu"/>
    <s v="Correct"/>
  </r>
  <r>
    <s v="ORD0181"/>
    <d v="2025-03-03T00:00:00"/>
    <x v="0"/>
    <x v="0"/>
    <n v="60"/>
    <n v="2"/>
    <n v="120"/>
    <x v="5"/>
    <x v="8"/>
    <x v="0"/>
    <x v="0"/>
    <x v="0"/>
    <s v="Mon"/>
    <s v="Correct"/>
  </r>
  <r>
    <s v="ORD0182"/>
    <d v="2025-02-04T00:00:00"/>
    <x v="3"/>
    <x v="2"/>
    <n v="20"/>
    <n v="5"/>
    <n v="100"/>
    <x v="0"/>
    <x v="2"/>
    <x v="3"/>
    <x v="2"/>
    <x v="1"/>
    <s v="Tue"/>
    <s v="Correct"/>
  </r>
  <r>
    <s v="ORD0183"/>
    <s v="25-03-2025"/>
    <x v="8"/>
    <x v="4"/>
    <n v="600"/>
    <n v="1"/>
    <n v="600"/>
    <x v="0"/>
    <x v="7"/>
    <x v="0"/>
    <x v="1"/>
    <x v="0"/>
    <s v="Tue"/>
    <s v="Correct"/>
  </r>
  <r>
    <s v="ORD0184"/>
    <s v="17-02-2025"/>
    <x v="5"/>
    <x v="3"/>
    <n v="15"/>
    <n v="5"/>
    <n v="75"/>
    <x v="7"/>
    <x v="5"/>
    <x v="0"/>
    <x v="1"/>
    <x v="1"/>
    <s v="Mon"/>
    <s v="Correct"/>
  </r>
  <r>
    <s v="ORD0185"/>
    <s v="22-03-2025"/>
    <x v="3"/>
    <x v="2"/>
    <n v="20"/>
    <n v="1"/>
    <n v="20"/>
    <x v="8"/>
    <x v="3"/>
    <x v="0"/>
    <x v="2"/>
    <x v="0"/>
    <s v="Sat"/>
    <s v="Correct"/>
  </r>
  <r>
    <s v="ORD0186"/>
    <d v="2025-02-03T00:00:00"/>
    <x v="8"/>
    <x v="4"/>
    <n v="600"/>
    <n v="4"/>
    <n v="2400"/>
    <x v="6"/>
    <x v="0"/>
    <x v="3"/>
    <x v="2"/>
    <x v="1"/>
    <s v="Mon"/>
    <s v="Correct"/>
  </r>
  <r>
    <s v="ORD0187"/>
    <s v="13-03-2025"/>
    <x v="7"/>
    <x v="1"/>
    <n v="800"/>
    <n v="3"/>
    <n v="2400"/>
    <x v="2"/>
    <x v="0"/>
    <x v="3"/>
    <x v="1"/>
    <x v="0"/>
    <s v="Thu"/>
    <s v="Correct"/>
  </r>
  <r>
    <s v="ORD0188"/>
    <s v="14-02-2025"/>
    <x v="5"/>
    <x v="3"/>
    <n v="15"/>
    <n v="1"/>
    <n v="15"/>
    <x v="2"/>
    <x v="6"/>
    <x v="1"/>
    <x v="2"/>
    <x v="1"/>
    <s v="Fri"/>
    <s v="Correct"/>
  </r>
  <r>
    <s v="ORD0189"/>
    <d v="2025-10-02T00:00:00"/>
    <x v="7"/>
    <x v="1"/>
    <n v="800"/>
    <n v="3"/>
    <n v="2400"/>
    <x v="9"/>
    <x v="4"/>
    <x v="1"/>
    <x v="2"/>
    <x v="2"/>
    <s v="Thu"/>
    <s v="Correct"/>
  </r>
  <r>
    <s v="ORD0190"/>
    <s v="23-02-2025"/>
    <x v="0"/>
    <x v="0"/>
    <n v="60"/>
    <n v="1"/>
    <n v="60"/>
    <x v="4"/>
    <x v="4"/>
    <x v="3"/>
    <x v="2"/>
    <x v="1"/>
    <s v="Sun"/>
    <s v="Correct"/>
  </r>
  <r>
    <s v="ORD0191"/>
    <s v="28-02-2025"/>
    <x v="6"/>
    <x v="2"/>
    <n v="40"/>
    <n v="4"/>
    <n v="160"/>
    <x v="2"/>
    <x v="7"/>
    <x v="1"/>
    <x v="1"/>
    <x v="1"/>
    <s v="Fri"/>
    <s v="Correct"/>
  </r>
  <r>
    <s v="ORD0192"/>
    <s v="31-03-2025"/>
    <x v="1"/>
    <x v="1"/>
    <n v="100"/>
    <n v="3"/>
    <n v="300"/>
    <x v="4"/>
    <x v="3"/>
    <x v="4"/>
    <x v="1"/>
    <x v="0"/>
    <s v="Mon"/>
    <s v="Correct"/>
  </r>
  <r>
    <s v="ORD0193"/>
    <s v="30-03-2025"/>
    <x v="5"/>
    <x v="3"/>
    <n v="15"/>
    <n v="5"/>
    <n v="75"/>
    <x v="5"/>
    <x v="9"/>
    <x v="1"/>
    <x v="1"/>
    <x v="0"/>
    <s v="Sun"/>
    <s v="Correct"/>
  </r>
  <r>
    <s v="ORD0194"/>
    <s v="20-02-2025"/>
    <x v="6"/>
    <x v="2"/>
    <n v="40"/>
    <n v="4"/>
    <n v="160"/>
    <x v="2"/>
    <x v="1"/>
    <x v="0"/>
    <x v="0"/>
    <x v="1"/>
    <s v="Thu"/>
    <s v="Correct"/>
  </r>
  <r>
    <s v="ORD0195"/>
    <d v="2025-10-03T00:00:00"/>
    <x v="4"/>
    <x v="1"/>
    <n v="500"/>
    <n v="3"/>
    <n v="1500"/>
    <x v="3"/>
    <x v="2"/>
    <x v="4"/>
    <x v="0"/>
    <x v="2"/>
    <s v="Fri"/>
    <s v="Correct"/>
  </r>
  <r>
    <s v="ORD0196"/>
    <d v="2025-04-03T00:00:00"/>
    <x v="1"/>
    <x v="1"/>
    <n v="100"/>
    <n v="5"/>
    <n v="500"/>
    <x v="7"/>
    <x v="7"/>
    <x v="0"/>
    <x v="1"/>
    <x v="6"/>
    <s v="Thu"/>
    <s v="Correct"/>
  </r>
  <r>
    <s v="ORD0197"/>
    <d v="2025-12-03T00:00:00"/>
    <x v="0"/>
    <x v="0"/>
    <n v="60"/>
    <n v="2"/>
    <n v="120"/>
    <x v="6"/>
    <x v="2"/>
    <x v="4"/>
    <x v="2"/>
    <x v="4"/>
    <s v="Wed"/>
    <s v="Correct"/>
  </r>
  <r>
    <s v="ORD0198"/>
    <s v="20-02-2025"/>
    <x v="7"/>
    <x v="1"/>
    <n v="800"/>
    <n v="4"/>
    <n v="3200"/>
    <x v="9"/>
    <x v="7"/>
    <x v="1"/>
    <x v="1"/>
    <x v="1"/>
    <s v="Thu"/>
    <s v="Correct"/>
  </r>
  <r>
    <s v="ORD0199"/>
    <s v="22-02-2025"/>
    <x v="4"/>
    <x v="1"/>
    <n v="500"/>
    <n v="3"/>
    <n v="1500"/>
    <x v="8"/>
    <x v="3"/>
    <x v="2"/>
    <x v="2"/>
    <x v="1"/>
    <s v="Sat"/>
    <s v="Correct"/>
  </r>
  <r>
    <s v="ORD0200"/>
    <d v="2025-10-02T00:00:00"/>
    <x v="5"/>
    <x v="3"/>
    <n v="15"/>
    <n v="2"/>
    <n v="30"/>
    <x v="8"/>
    <x v="8"/>
    <x v="0"/>
    <x v="2"/>
    <x v="2"/>
    <s v="Thu"/>
    <s v="Correct"/>
  </r>
  <r>
    <s v="ORD0201"/>
    <d v="2025-03-02T00:00:00"/>
    <x v="5"/>
    <x v="3"/>
    <n v="15"/>
    <n v="4"/>
    <n v="60"/>
    <x v="6"/>
    <x v="1"/>
    <x v="2"/>
    <x v="2"/>
    <x v="0"/>
    <s v="Sun"/>
    <s v="Correct"/>
  </r>
  <r>
    <s v="ORD0202"/>
    <s v="21-02-2025"/>
    <x v="4"/>
    <x v="1"/>
    <n v="500"/>
    <n v="2"/>
    <n v="1000"/>
    <x v="7"/>
    <x v="5"/>
    <x v="2"/>
    <x v="0"/>
    <x v="1"/>
    <s v="Fri"/>
    <s v="Correct"/>
  </r>
  <r>
    <s v="ORD0203"/>
    <s v="21-02-2025"/>
    <x v="9"/>
    <x v="4"/>
    <n v="1200"/>
    <n v="3"/>
    <n v="3600"/>
    <x v="2"/>
    <x v="3"/>
    <x v="0"/>
    <x v="2"/>
    <x v="1"/>
    <s v="Fri"/>
    <s v="Correct"/>
  </r>
  <r>
    <s v="ORD0204"/>
    <d v="2025-08-03T00:00:00"/>
    <x v="0"/>
    <x v="0"/>
    <n v="60"/>
    <n v="5"/>
    <n v="300"/>
    <x v="9"/>
    <x v="5"/>
    <x v="4"/>
    <x v="1"/>
    <x v="3"/>
    <s v="Sun"/>
    <s v="Correct"/>
  </r>
  <r>
    <s v="ORD0205"/>
    <s v="27-02-2025"/>
    <x v="1"/>
    <x v="1"/>
    <n v="100"/>
    <n v="2"/>
    <n v="200"/>
    <x v="5"/>
    <x v="4"/>
    <x v="3"/>
    <x v="2"/>
    <x v="1"/>
    <s v="Thu"/>
    <s v="Correct"/>
  </r>
  <r>
    <s v="ORD0206"/>
    <d v="2025-12-02T00:00:00"/>
    <x v="8"/>
    <x v="4"/>
    <n v="600"/>
    <n v="5"/>
    <n v="3000"/>
    <x v="0"/>
    <x v="5"/>
    <x v="1"/>
    <x v="1"/>
    <x v="4"/>
    <s v="Tue"/>
    <s v="Correct"/>
  </r>
  <r>
    <s v="ORD0207"/>
    <s v="21-03-2025"/>
    <x v="8"/>
    <x v="4"/>
    <n v="600"/>
    <n v="1"/>
    <n v="600"/>
    <x v="2"/>
    <x v="5"/>
    <x v="2"/>
    <x v="2"/>
    <x v="0"/>
    <s v="Fri"/>
    <s v="Correct"/>
  </r>
  <r>
    <s v="ORD0208"/>
    <d v="2025-02-02T00:00:00"/>
    <x v="9"/>
    <x v="4"/>
    <n v="1200"/>
    <n v="3"/>
    <n v="3600"/>
    <x v="2"/>
    <x v="5"/>
    <x v="3"/>
    <x v="2"/>
    <x v="1"/>
    <s v="Sun"/>
    <s v="Correct"/>
  </r>
  <r>
    <s v="ORD0209"/>
    <s v="29-03-2025"/>
    <x v="6"/>
    <x v="2"/>
    <n v="40"/>
    <n v="5"/>
    <n v="200"/>
    <x v="7"/>
    <x v="3"/>
    <x v="3"/>
    <x v="2"/>
    <x v="0"/>
    <s v="Sat"/>
    <s v="Correct"/>
  </r>
  <r>
    <s v="ORD0210"/>
    <s v="23-03-2025"/>
    <x v="7"/>
    <x v="1"/>
    <n v="800"/>
    <n v="3"/>
    <n v="2400"/>
    <x v="9"/>
    <x v="0"/>
    <x v="3"/>
    <x v="2"/>
    <x v="0"/>
    <s v="Sun"/>
    <s v="Correct"/>
  </r>
  <r>
    <s v="ORD0211"/>
    <s v="13-03-2025"/>
    <x v="4"/>
    <x v="1"/>
    <n v="500"/>
    <n v="1"/>
    <n v="500"/>
    <x v="5"/>
    <x v="5"/>
    <x v="4"/>
    <x v="1"/>
    <x v="0"/>
    <s v="Thu"/>
    <s v="Correct"/>
  </r>
  <r>
    <s v="ORD0212"/>
    <d v="2025-09-03T00:00:00"/>
    <x v="3"/>
    <x v="2"/>
    <n v="20"/>
    <n v="4"/>
    <n v="80"/>
    <x v="0"/>
    <x v="4"/>
    <x v="0"/>
    <x v="2"/>
    <x v="9"/>
    <s v="Wed"/>
    <s v="Correct"/>
  </r>
  <r>
    <s v="ORD0213"/>
    <d v="2025-06-02T00:00:00"/>
    <x v="7"/>
    <x v="1"/>
    <n v="800"/>
    <n v="1"/>
    <n v="800"/>
    <x v="9"/>
    <x v="8"/>
    <x v="1"/>
    <x v="0"/>
    <x v="10"/>
    <s v="Mon"/>
    <s v="Correct"/>
  </r>
  <r>
    <s v="ORD0214"/>
    <s v="18-02-2025"/>
    <x v="2"/>
    <x v="1"/>
    <n v="150"/>
    <n v="5"/>
    <n v="750"/>
    <x v="1"/>
    <x v="4"/>
    <x v="0"/>
    <x v="2"/>
    <x v="1"/>
    <s v="Tue"/>
    <s v="Correct"/>
  </r>
  <r>
    <s v="ORD0215"/>
    <d v="2025-07-03T00:00:00"/>
    <x v="0"/>
    <x v="0"/>
    <n v="60"/>
    <n v="1"/>
    <n v="60"/>
    <x v="0"/>
    <x v="4"/>
    <x v="3"/>
    <x v="2"/>
    <x v="7"/>
    <s v="Thu"/>
    <s v="Correct"/>
  </r>
  <r>
    <s v="ORD0216"/>
    <s v="26-03-2025"/>
    <x v="6"/>
    <x v="2"/>
    <n v="40"/>
    <n v="2"/>
    <n v="80"/>
    <x v="8"/>
    <x v="9"/>
    <x v="2"/>
    <x v="2"/>
    <x v="0"/>
    <s v="Wed"/>
    <s v="Correct"/>
  </r>
  <r>
    <s v="ORD0217"/>
    <s v="19-03-2025"/>
    <x v="0"/>
    <x v="0"/>
    <n v="60"/>
    <n v="2"/>
    <n v="120"/>
    <x v="0"/>
    <x v="6"/>
    <x v="4"/>
    <x v="1"/>
    <x v="0"/>
    <s v="Wed"/>
    <s v="Correct"/>
  </r>
  <r>
    <s v="ORD0218"/>
    <s v="15-02-2025"/>
    <x v="1"/>
    <x v="1"/>
    <n v="100"/>
    <n v="4"/>
    <n v="400"/>
    <x v="7"/>
    <x v="0"/>
    <x v="4"/>
    <x v="0"/>
    <x v="1"/>
    <s v="Sat"/>
    <s v="Correct"/>
  </r>
  <r>
    <s v="ORD0219"/>
    <s v="17-02-2025"/>
    <x v="1"/>
    <x v="1"/>
    <n v="100"/>
    <n v="3"/>
    <n v="300"/>
    <x v="5"/>
    <x v="4"/>
    <x v="3"/>
    <x v="0"/>
    <x v="1"/>
    <s v="Mon"/>
    <s v="Correct"/>
  </r>
  <r>
    <s v="ORD0220"/>
    <d v="2025-10-02T00:00:00"/>
    <x v="2"/>
    <x v="1"/>
    <n v="150"/>
    <n v="3"/>
    <n v="450"/>
    <x v="6"/>
    <x v="2"/>
    <x v="0"/>
    <x v="2"/>
    <x v="2"/>
    <s v="Thu"/>
    <s v="Correct"/>
  </r>
  <r>
    <s v="ORD0221"/>
    <s v="28-02-2025"/>
    <x v="8"/>
    <x v="4"/>
    <n v="600"/>
    <n v="2"/>
    <n v="1200"/>
    <x v="1"/>
    <x v="9"/>
    <x v="4"/>
    <x v="0"/>
    <x v="1"/>
    <s v="Fri"/>
    <s v="Correct"/>
  </r>
  <r>
    <s v="ORD0222"/>
    <s v="16-02-2025"/>
    <x v="8"/>
    <x v="4"/>
    <n v="600"/>
    <n v="2"/>
    <n v="1200"/>
    <x v="8"/>
    <x v="7"/>
    <x v="3"/>
    <x v="0"/>
    <x v="1"/>
    <s v="Sun"/>
    <s v="Correct"/>
  </r>
  <r>
    <s v="ORD0223"/>
    <s v="24-03-2025"/>
    <x v="6"/>
    <x v="2"/>
    <n v="40"/>
    <n v="2"/>
    <n v="80"/>
    <x v="5"/>
    <x v="2"/>
    <x v="1"/>
    <x v="0"/>
    <x v="0"/>
    <s v="Mon"/>
    <s v="Correct"/>
  </r>
  <r>
    <s v="ORD0224"/>
    <s v="18-03-2025"/>
    <x v="9"/>
    <x v="4"/>
    <n v="1200"/>
    <n v="1"/>
    <n v="1200"/>
    <x v="9"/>
    <x v="5"/>
    <x v="3"/>
    <x v="2"/>
    <x v="0"/>
    <s v="Tue"/>
    <s v="Correct"/>
  </r>
  <r>
    <s v="ORD0225"/>
    <d v="2025-11-03T00:00:00"/>
    <x v="6"/>
    <x v="2"/>
    <n v="40"/>
    <n v="1"/>
    <n v="40"/>
    <x v="4"/>
    <x v="0"/>
    <x v="4"/>
    <x v="0"/>
    <x v="11"/>
    <s v="Mon"/>
    <s v="Correct"/>
  </r>
  <r>
    <s v="ORD0226"/>
    <d v="2025-05-03T00:00:00"/>
    <x v="0"/>
    <x v="0"/>
    <n v="60"/>
    <n v="4"/>
    <n v="240"/>
    <x v="8"/>
    <x v="9"/>
    <x v="1"/>
    <x v="2"/>
    <x v="8"/>
    <s v="Sat"/>
    <s v="Correct"/>
  </r>
  <r>
    <s v="ORD0227"/>
    <d v="2025-02-04T00:00:00"/>
    <x v="1"/>
    <x v="1"/>
    <n v="100"/>
    <n v="5"/>
    <n v="500"/>
    <x v="0"/>
    <x v="5"/>
    <x v="1"/>
    <x v="0"/>
    <x v="1"/>
    <s v="Tue"/>
    <s v="Correct"/>
  </r>
  <r>
    <s v="ORD0228"/>
    <d v="2025-12-02T00:00:00"/>
    <x v="0"/>
    <x v="0"/>
    <n v="60"/>
    <n v="1"/>
    <n v="60"/>
    <x v="5"/>
    <x v="1"/>
    <x v="2"/>
    <x v="1"/>
    <x v="4"/>
    <s v="Tue"/>
    <s v="Correct"/>
  </r>
  <r>
    <s v="ORD0229"/>
    <s v="21-03-2025"/>
    <x v="0"/>
    <x v="0"/>
    <n v="60"/>
    <n v="3"/>
    <n v="180"/>
    <x v="0"/>
    <x v="1"/>
    <x v="2"/>
    <x v="1"/>
    <x v="0"/>
    <s v="Fri"/>
    <s v="Correct"/>
  </r>
  <r>
    <s v="ORD0230"/>
    <s v="31-03-2025"/>
    <x v="1"/>
    <x v="1"/>
    <n v="100"/>
    <n v="4"/>
    <n v="400"/>
    <x v="9"/>
    <x v="1"/>
    <x v="1"/>
    <x v="1"/>
    <x v="0"/>
    <s v="Mon"/>
    <s v="Correct"/>
  </r>
  <r>
    <s v="ORD0231"/>
    <s v="16-02-2025"/>
    <x v="7"/>
    <x v="1"/>
    <n v="800"/>
    <n v="5"/>
    <n v="4000"/>
    <x v="9"/>
    <x v="6"/>
    <x v="2"/>
    <x v="0"/>
    <x v="1"/>
    <s v="Sun"/>
    <s v="Correct"/>
  </r>
  <r>
    <s v="ORD0232"/>
    <s v="14-03-2025"/>
    <x v="9"/>
    <x v="4"/>
    <n v="1200"/>
    <n v="3"/>
    <n v="3600"/>
    <x v="0"/>
    <x v="8"/>
    <x v="2"/>
    <x v="2"/>
    <x v="0"/>
    <s v="Fri"/>
    <s v="Correct"/>
  </r>
  <r>
    <s v="ORD0233"/>
    <s v="20-02-2025"/>
    <x v="0"/>
    <x v="0"/>
    <n v="60"/>
    <n v="1"/>
    <n v="60"/>
    <x v="5"/>
    <x v="6"/>
    <x v="3"/>
    <x v="0"/>
    <x v="1"/>
    <s v="Thu"/>
    <s v="Correct"/>
  </r>
  <r>
    <s v="ORD0234"/>
    <d v="2025-08-03T00:00:00"/>
    <x v="5"/>
    <x v="3"/>
    <n v="15"/>
    <n v="1"/>
    <n v="15"/>
    <x v="9"/>
    <x v="5"/>
    <x v="1"/>
    <x v="0"/>
    <x v="3"/>
    <s v="Sun"/>
    <s v="Correct"/>
  </r>
  <r>
    <s v="ORD0235"/>
    <s v="23-03-2025"/>
    <x v="9"/>
    <x v="4"/>
    <n v="1200"/>
    <n v="1"/>
    <n v="1200"/>
    <x v="7"/>
    <x v="3"/>
    <x v="3"/>
    <x v="2"/>
    <x v="0"/>
    <s v="Sun"/>
    <s v="Correct"/>
  </r>
  <r>
    <s v="ORD0236"/>
    <d v="2025-05-03T00:00:00"/>
    <x v="4"/>
    <x v="1"/>
    <n v="500"/>
    <n v="5"/>
    <n v="2500"/>
    <x v="2"/>
    <x v="6"/>
    <x v="3"/>
    <x v="2"/>
    <x v="8"/>
    <s v="Sat"/>
    <s v="Correct"/>
  </r>
  <r>
    <s v="ORD0237"/>
    <d v="2025-11-02T00:00:00"/>
    <x v="1"/>
    <x v="1"/>
    <n v="100"/>
    <n v="3"/>
    <n v="300"/>
    <x v="6"/>
    <x v="4"/>
    <x v="0"/>
    <x v="0"/>
    <x v="11"/>
    <s v="Sun"/>
    <s v="Correct"/>
  </r>
  <r>
    <s v="ORD0238"/>
    <s v="16-03-2025"/>
    <x v="1"/>
    <x v="1"/>
    <n v="100"/>
    <n v="1"/>
    <n v="100"/>
    <x v="3"/>
    <x v="2"/>
    <x v="3"/>
    <x v="2"/>
    <x v="0"/>
    <s v="Sun"/>
    <s v="Correct"/>
  </r>
  <r>
    <s v="ORD0239"/>
    <s v="22-03-2025"/>
    <x v="2"/>
    <x v="1"/>
    <n v="150"/>
    <n v="5"/>
    <n v="750"/>
    <x v="7"/>
    <x v="4"/>
    <x v="1"/>
    <x v="2"/>
    <x v="0"/>
    <s v="Sat"/>
    <s v="Correct"/>
  </r>
  <r>
    <s v="ORD0240"/>
    <d v="2025-09-02T00:00:00"/>
    <x v="2"/>
    <x v="1"/>
    <n v="150"/>
    <n v="1"/>
    <n v="150"/>
    <x v="2"/>
    <x v="2"/>
    <x v="4"/>
    <x v="1"/>
    <x v="9"/>
    <s v="Tue"/>
    <s v="Correct"/>
  </r>
  <r>
    <s v="ORD0241"/>
    <s v="30-03-2025"/>
    <x v="4"/>
    <x v="1"/>
    <n v="500"/>
    <n v="4"/>
    <n v="2000"/>
    <x v="3"/>
    <x v="0"/>
    <x v="2"/>
    <x v="1"/>
    <x v="0"/>
    <s v="Sun"/>
    <s v="Correct"/>
  </r>
  <r>
    <s v="ORD0242"/>
    <d v="2025-08-03T00:00:00"/>
    <x v="4"/>
    <x v="1"/>
    <n v="500"/>
    <n v="4"/>
    <n v="2000"/>
    <x v="8"/>
    <x v="6"/>
    <x v="4"/>
    <x v="1"/>
    <x v="3"/>
    <s v="Sun"/>
    <s v="Correct"/>
  </r>
  <r>
    <s v="ORD0243"/>
    <d v="2025-05-03T00:00:00"/>
    <x v="0"/>
    <x v="0"/>
    <n v="60"/>
    <n v="2"/>
    <n v="120"/>
    <x v="8"/>
    <x v="4"/>
    <x v="1"/>
    <x v="2"/>
    <x v="8"/>
    <s v="Sat"/>
    <s v="Correct"/>
  </r>
  <r>
    <s v="ORD0244"/>
    <d v="2025-06-02T00:00:00"/>
    <x v="4"/>
    <x v="1"/>
    <n v="500"/>
    <n v="4"/>
    <n v="2000"/>
    <x v="0"/>
    <x v="4"/>
    <x v="2"/>
    <x v="2"/>
    <x v="10"/>
    <s v="Mon"/>
    <s v="Correct"/>
  </r>
  <r>
    <s v="ORD0245"/>
    <d v="2025-04-02T00:00:00"/>
    <x v="7"/>
    <x v="1"/>
    <n v="800"/>
    <n v="1"/>
    <n v="800"/>
    <x v="6"/>
    <x v="8"/>
    <x v="2"/>
    <x v="0"/>
    <x v="6"/>
    <s v="Wed"/>
    <s v="Correct"/>
  </r>
  <r>
    <s v="ORD0246"/>
    <s v="17-03-2025"/>
    <x v="3"/>
    <x v="2"/>
    <n v="20"/>
    <n v="2"/>
    <n v="40"/>
    <x v="7"/>
    <x v="5"/>
    <x v="0"/>
    <x v="0"/>
    <x v="0"/>
    <s v="Mon"/>
    <s v="Correct"/>
  </r>
  <r>
    <s v="ORD0247"/>
    <s v="30-03-2025"/>
    <x v="6"/>
    <x v="2"/>
    <n v="40"/>
    <n v="1"/>
    <n v="40"/>
    <x v="4"/>
    <x v="3"/>
    <x v="0"/>
    <x v="0"/>
    <x v="0"/>
    <s v="Sun"/>
    <s v="Correct"/>
  </r>
  <r>
    <s v="ORD0248"/>
    <d v="2025-05-03T00:00:00"/>
    <x v="3"/>
    <x v="2"/>
    <n v="20"/>
    <n v="2"/>
    <n v="40"/>
    <x v="8"/>
    <x v="2"/>
    <x v="0"/>
    <x v="0"/>
    <x v="8"/>
    <s v="Sat"/>
    <s v="Correct"/>
  </r>
  <r>
    <s v="ORD0249"/>
    <d v="2025-08-03T00:00:00"/>
    <x v="2"/>
    <x v="1"/>
    <n v="150"/>
    <n v="3"/>
    <n v="450"/>
    <x v="1"/>
    <x v="0"/>
    <x v="0"/>
    <x v="0"/>
    <x v="3"/>
    <s v="Sun"/>
    <s v="Correct"/>
  </r>
  <r>
    <s v="ORD0250"/>
    <s v="19-02-2025"/>
    <x v="4"/>
    <x v="1"/>
    <n v="500"/>
    <n v="4"/>
    <n v="2000"/>
    <x v="1"/>
    <x v="7"/>
    <x v="1"/>
    <x v="2"/>
    <x v="1"/>
    <s v="Wed"/>
    <s v="Correc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637933-A8A3-4580-9AEC-CA7F9E503D4E}"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D19:E25" firstHeaderRow="1" firstDataRow="1" firstDataCol="1"/>
  <pivotFields count="14">
    <pivotField showAll="0"/>
    <pivotField showAll="0"/>
    <pivotField showAll="0"/>
    <pivotField axis="axisRow" showAll="0" sortType="descending">
      <items count="6">
        <item x="3"/>
        <item x="2"/>
        <item x="1"/>
        <item x="0"/>
        <item x="4"/>
        <item t="default"/>
      </items>
      <autoSortScope>
        <pivotArea dataOnly="0" outline="0" fieldPosition="0">
          <references count="1">
            <reference field="4294967294" count="1" selected="0">
              <x v="0"/>
            </reference>
          </references>
        </pivotArea>
      </autoSortScope>
    </pivotField>
    <pivotField numFmtId="2" showAll="0"/>
    <pivotField numFmtId="2" showAll="0"/>
    <pivotField dataField="1" numFmtId="2" showAll="0"/>
    <pivotField showAll="0"/>
    <pivotField showAll="0">
      <items count="11">
        <item x="6"/>
        <item x="9"/>
        <item x="3"/>
        <item x="2"/>
        <item x="4"/>
        <item x="8"/>
        <item x="5"/>
        <item x="0"/>
        <item x="1"/>
        <item x="7"/>
        <item t="default"/>
      </items>
    </pivotField>
    <pivotField showAll="0"/>
    <pivotField showAll="0">
      <items count="4">
        <item x="0"/>
        <item x="2"/>
        <item x="1"/>
        <item t="default"/>
      </items>
    </pivotField>
    <pivotField showAll="0">
      <items count="13">
        <item x="5"/>
        <item x="1"/>
        <item x="0"/>
        <item x="6"/>
        <item x="8"/>
        <item x="10"/>
        <item x="7"/>
        <item x="3"/>
        <item x="9"/>
        <item x="2"/>
        <item x="11"/>
        <item x="4"/>
        <item t="default"/>
      </items>
    </pivotField>
    <pivotField showAll="0"/>
    <pivotField showAll="0"/>
  </pivotFields>
  <rowFields count="1">
    <field x="3"/>
  </rowFields>
  <rowItems count="6">
    <i>
      <x v="2"/>
    </i>
    <i>
      <x v="4"/>
    </i>
    <i>
      <x v="3"/>
    </i>
    <i>
      <x v="1"/>
    </i>
    <i>
      <x/>
    </i>
    <i t="grand">
      <x/>
    </i>
  </rowItems>
  <colItems count="1">
    <i/>
  </colItems>
  <dataFields count="1">
    <dataField name="Sum of Total Sales" fld="6" baseField="0" baseItem="0" numFmtId="2"/>
  </dataFields>
  <chartFormats count="2">
    <chartFormat chart="24"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0CBCDA-B10D-4D46-A2E7-BD13AA162D6B}"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G19:H25" firstHeaderRow="1" firstDataRow="1" firstDataCol="1"/>
  <pivotFields count="14">
    <pivotField showAll="0"/>
    <pivotField showAll="0"/>
    <pivotField showAll="0"/>
    <pivotField showAll="0">
      <items count="6">
        <item x="3"/>
        <item x="2"/>
        <item x="1"/>
        <item x="0"/>
        <item x="4"/>
        <item t="default"/>
      </items>
    </pivotField>
    <pivotField numFmtId="2" showAll="0"/>
    <pivotField numFmtId="2" showAll="0"/>
    <pivotField dataField="1" numFmtId="2" showAll="0"/>
    <pivotField showAll="0"/>
    <pivotField showAll="0">
      <items count="11">
        <item x="6"/>
        <item x="9"/>
        <item x="3"/>
        <item x="2"/>
        <item x="4"/>
        <item x="8"/>
        <item x="5"/>
        <item x="0"/>
        <item x="1"/>
        <item x="7"/>
        <item t="default"/>
      </items>
    </pivotField>
    <pivotField axis="axisRow" showAll="0" sortType="descending">
      <items count="6">
        <item x="1"/>
        <item x="2"/>
        <item x="0"/>
        <item x="4"/>
        <item x="3"/>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items count="13">
        <item x="5"/>
        <item x="1"/>
        <item x="0"/>
        <item x="6"/>
        <item x="8"/>
        <item x="10"/>
        <item x="7"/>
        <item x="3"/>
        <item x="9"/>
        <item x="2"/>
        <item x="11"/>
        <item x="4"/>
        <item t="default"/>
      </items>
    </pivotField>
    <pivotField showAll="0"/>
    <pivotField showAll="0"/>
  </pivotFields>
  <rowFields count="1">
    <field x="9"/>
  </rowFields>
  <rowItems count="6">
    <i>
      <x v="4"/>
    </i>
    <i>
      <x v="1"/>
    </i>
    <i>
      <x v="3"/>
    </i>
    <i>
      <x/>
    </i>
    <i>
      <x v="2"/>
    </i>
    <i t="grand">
      <x/>
    </i>
  </rowItems>
  <colItems count="1">
    <i/>
  </colItems>
  <dataFields count="1">
    <dataField name="Sum of Total Sales" fld="6" baseField="0" baseItem="0" numFmtId="2"/>
  </dataFields>
  <chartFormats count="13">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9" count="1" selected="0">
            <x v="4"/>
          </reference>
        </references>
      </pivotArea>
    </chartFormat>
    <chartFormat chart="14" format="21">
      <pivotArea type="data" outline="0" fieldPosition="0">
        <references count="2">
          <reference field="4294967294" count="1" selected="0">
            <x v="0"/>
          </reference>
          <reference field="9" count="1" selected="0">
            <x v="1"/>
          </reference>
        </references>
      </pivotArea>
    </chartFormat>
    <chartFormat chart="14" format="22">
      <pivotArea type="data" outline="0" fieldPosition="0">
        <references count="2">
          <reference field="4294967294" count="1" selected="0">
            <x v="0"/>
          </reference>
          <reference field="9" count="1" selected="0">
            <x v="3"/>
          </reference>
        </references>
      </pivotArea>
    </chartFormat>
    <chartFormat chart="14" format="23">
      <pivotArea type="data" outline="0" fieldPosition="0">
        <references count="2">
          <reference field="4294967294" count="1" selected="0">
            <x v="0"/>
          </reference>
          <reference field="9" count="1" selected="0">
            <x v="0"/>
          </reference>
        </references>
      </pivotArea>
    </chartFormat>
    <chartFormat chart="14" format="24">
      <pivotArea type="data" outline="0" fieldPosition="0">
        <references count="2">
          <reference field="4294967294" count="1" selected="0">
            <x v="0"/>
          </reference>
          <reference field="9" count="1" selected="0">
            <x v="2"/>
          </reference>
        </references>
      </pivotArea>
    </chartFormat>
    <chartFormat chart="16" format="25" series="1">
      <pivotArea type="data" outline="0" fieldPosition="0">
        <references count="1">
          <reference field="4294967294" count="1" selected="0">
            <x v="0"/>
          </reference>
        </references>
      </pivotArea>
    </chartFormat>
    <chartFormat chart="16" format="26">
      <pivotArea type="data" outline="0" fieldPosition="0">
        <references count="2">
          <reference field="4294967294" count="1" selected="0">
            <x v="0"/>
          </reference>
          <reference field="9" count="1" selected="0">
            <x v="4"/>
          </reference>
        </references>
      </pivotArea>
    </chartFormat>
    <chartFormat chart="16" format="27">
      <pivotArea type="data" outline="0" fieldPosition="0">
        <references count="2">
          <reference field="4294967294" count="1" selected="0">
            <x v="0"/>
          </reference>
          <reference field="9" count="1" selected="0">
            <x v="1"/>
          </reference>
        </references>
      </pivotArea>
    </chartFormat>
    <chartFormat chart="16" format="28">
      <pivotArea type="data" outline="0" fieldPosition="0">
        <references count="2">
          <reference field="4294967294" count="1" selected="0">
            <x v="0"/>
          </reference>
          <reference field="9" count="1" selected="0">
            <x v="3"/>
          </reference>
        </references>
      </pivotArea>
    </chartFormat>
    <chartFormat chart="16" format="29">
      <pivotArea type="data" outline="0" fieldPosition="0">
        <references count="2">
          <reference field="4294967294" count="1" selected="0">
            <x v="0"/>
          </reference>
          <reference field="9" count="1" selected="0">
            <x v="0"/>
          </reference>
        </references>
      </pivotArea>
    </chartFormat>
    <chartFormat chart="16" format="30">
      <pivotArea type="data" outline="0" fieldPosition="0">
        <references count="2">
          <reference field="4294967294" count="1" selected="0">
            <x v="0"/>
          </reference>
          <reference field="9" count="1" selected="0">
            <x v="2"/>
          </reference>
        </references>
      </pivotArea>
    </chartFormat>
    <chartFormat chart="14" format="26">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7B9E17-8167-4444-9C63-C6CAA1D5A986}"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J3:K14" firstHeaderRow="1" firstDataRow="1" firstDataCol="1"/>
  <pivotFields count="14">
    <pivotField showAll="0"/>
    <pivotField showAll="0"/>
    <pivotField showAll="0"/>
    <pivotField showAll="0">
      <items count="6">
        <item x="3"/>
        <item x="2"/>
        <item x="1"/>
        <item x="0"/>
        <item x="4"/>
        <item t="default"/>
      </items>
    </pivotField>
    <pivotField numFmtId="2" showAll="0"/>
    <pivotField numFmtId="2" showAll="0"/>
    <pivotField dataField="1" numFmtId="2" showAll="0"/>
    <pivotField axis="axisRow" showAll="0" sortType="descending">
      <items count="11">
        <item x="8"/>
        <item x="7"/>
        <item x="5"/>
        <item x="1"/>
        <item x="0"/>
        <item x="9"/>
        <item x="2"/>
        <item x="6"/>
        <item x="3"/>
        <item x="4"/>
        <item t="default"/>
      </items>
      <autoSortScope>
        <pivotArea dataOnly="0" outline="0" fieldPosition="0">
          <references count="1">
            <reference field="4294967294" count="1" selected="0">
              <x v="0"/>
            </reference>
          </references>
        </pivotArea>
      </autoSortScope>
    </pivotField>
    <pivotField showAll="0">
      <items count="11">
        <item x="6"/>
        <item x="9"/>
        <item x="3"/>
        <item x="2"/>
        <item x="4"/>
        <item x="8"/>
        <item x="5"/>
        <item x="0"/>
        <item x="1"/>
        <item x="7"/>
        <item t="default"/>
      </items>
    </pivotField>
    <pivotField showAll="0"/>
    <pivotField showAll="0">
      <items count="4">
        <item x="0"/>
        <item x="2"/>
        <item x="1"/>
        <item t="default"/>
      </items>
    </pivotField>
    <pivotField showAll="0">
      <items count="13">
        <item x="5"/>
        <item x="1"/>
        <item x="0"/>
        <item x="6"/>
        <item x="8"/>
        <item x="10"/>
        <item x="7"/>
        <item x="3"/>
        <item x="9"/>
        <item x="2"/>
        <item x="11"/>
        <item x="4"/>
        <item t="default"/>
      </items>
    </pivotField>
    <pivotField showAll="0"/>
    <pivotField showAll="0"/>
  </pivotFields>
  <rowFields count="1">
    <field x="7"/>
  </rowFields>
  <rowItems count="11">
    <i>
      <x v="8"/>
    </i>
    <i>
      <x v="5"/>
    </i>
    <i>
      <x v="4"/>
    </i>
    <i>
      <x v="6"/>
    </i>
    <i>
      <x v="3"/>
    </i>
    <i>
      <x v="2"/>
    </i>
    <i>
      <x v="7"/>
    </i>
    <i>
      <x v="1"/>
    </i>
    <i>
      <x/>
    </i>
    <i>
      <x v="9"/>
    </i>
    <i t="grand">
      <x/>
    </i>
  </rowItems>
  <colItems count="1">
    <i/>
  </colItems>
  <dataFields count="1">
    <dataField name="Sum of Total Sales" fld="6" baseField="0" baseItem="0" numFmtId="2"/>
  </dataFields>
  <chartFormats count="3">
    <chartFormat chart="0"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70D973-7733-4D8F-BFCF-54571D4AB2D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G3:H14" firstHeaderRow="1" firstDataRow="1" firstDataCol="1"/>
  <pivotFields count="14">
    <pivotField showAll="0"/>
    <pivotField showAll="0"/>
    <pivotField showAll="0"/>
    <pivotField showAll="0">
      <items count="6">
        <item x="3"/>
        <item x="2"/>
        <item x="1"/>
        <item x="0"/>
        <item x="4"/>
        <item t="default"/>
      </items>
    </pivotField>
    <pivotField numFmtId="2" showAll="0"/>
    <pivotField numFmtId="2" showAll="0"/>
    <pivotField dataField="1" numFmtId="2" showAll="0"/>
    <pivotField showAll="0"/>
    <pivotField axis="axisRow" showAll="0" sortType="descending">
      <items count="11">
        <item x="6"/>
        <item x="9"/>
        <item x="3"/>
        <item x="2"/>
        <item x="4"/>
        <item x="8"/>
        <item x="5"/>
        <item x="0"/>
        <item x="1"/>
        <item x="7"/>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13">
        <item x="5"/>
        <item x="1"/>
        <item x="0"/>
        <item x="6"/>
        <item x="8"/>
        <item x="10"/>
        <item x="7"/>
        <item x="3"/>
        <item x="9"/>
        <item x="2"/>
        <item x="11"/>
        <item x="4"/>
        <item t="default"/>
      </items>
    </pivotField>
    <pivotField showAll="0"/>
    <pivotField showAll="0"/>
  </pivotFields>
  <rowFields count="1">
    <field x="8"/>
  </rowFields>
  <rowItems count="11">
    <i>
      <x v="6"/>
    </i>
    <i>
      <x v="3"/>
    </i>
    <i>
      <x v="4"/>
    </i>
    <i>
      <x v="2"/>
    </i>
    <i>
      <x v="9"/>
    </i>
    <i>
      <x/>
    </i>
    <i>
      <x v="1"/>
    </i>
    <i>
      <x v="7"/>
    </i>
    <i>
      <x v="5"/>
    </i>
    <i>
      <x v="8"/>
    </i>
    <i t="grand">
      <x/>
    </i>
  </rowItems>
  <colItems count="1">
    <i/>
  </colItems>
  <dataFields count="1">
    <dataField name="Sum of Total Sales" fld="6" baseField="0" baseItem="0" numFmtId="2"/>
  </dataFields>
  <chartFormats count="2">
    <chartFormat chart="12"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91D403-192B-4BEC-8118-C2B28AD97A4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3:E14" firstHeaderRow="1" firstDataRow="1" firstDataCol="1"/>
  <pivotFields count="14">
    <pivotField showAll="0"/>
    <pivotField showAll="0"/>
    <pivotField axis="axisRow" showAll="0" sortType="descending">
      <items count="11">
        <item x="5"/>
        <item x="1"/>
        <item x="6"/>
        <item x="7"/>
        <item x="9"/>
        <item x="0"/>
        <item x="4"/>
        <item x="2"/>
        <item x="3"/>
        <item x="8"/>
        <item t="default"/>
      </items>
      <autoSortScope>
        <pivotArea dataOnly="0" outline="0" fieldPosition="0">
          <references count="1">
            <reference field="4294967294" count="1" selected="0">
              <x v="0"/>
            </reference>
          </references>
        </pivotArea>
      </autoSortScope>
    </pivotField>
    <pivotField showAll="0">
      <items count="6">
        <item x="3"/>
        <item x="2"/>
        <item x="1"/>
        <item x="0"/>
        <item x="4"/>
        <item t="default"/>
      </items>
    </pivotField>
    <pivotField numFmtId="2" showAll="0"/>
    <pivotField numFmtId="2" showAll="0"/>
    <pivotField dataField="1" numFmtId="2" showAll="0"/>
    <pivotField showAll="0"/>
    <pivotField showAll="0">
      <items count="11">
        <item x="6"/>
        <item x="9"/>
        <item x="3"/>
        <item x="2"/>
        <item x="4"/>
        <item x="8"/>
        <item x="5"/>
        <item x="0"/>
        <item x="1"/>
        <item x="7"/>
        <item t="default"/>
      </items>
    </pivotField>
    <pivotField showAll="0"/>
    <pivotField showAll="0">
      <items count="4">
        <item x="0"/>
        <item x="2"/>
        <item x="1"/>
        <item t="default"/>
      </items>
    </pivotField>
    <pivotField showAll="0">
      <items count="13">
        <item x="5"/>
        <item x="1"/>
        <item x="0"/>
        <item x="6"/>
        <item x="8"/>
        <item x="10"/>
        <item x="7"/>
        <item x="3"/>
        <item x="9"/>
        <item x="2"/>
        <item x="11"/>
        <item x="4"/>
        <item t="default"/>
      </items>
    </pivotField>
    <pivotField showAll="0"/>
    <pivotField showAll="0"/>
  </pivotFields>
  <rowFields count="1">
    <field x="2"/>
  </rowFields>
  <rowItems count="11">
    <i>
      <x v="4"/>
    </i>
    <i>
      <x v="3"/>
    </i>
    <i>
      <x v="6"/>
    </i>
    <i>
      <x v="9"/>
    </i>
    <i>
      <x v="7"/>
    </i>
    <i>
      <x v="1"/>
    </i>
    <i>
      <x v="5"/>
    </i>
    <i>
      <x v="2"/>
    </i>
    <i>
      <x v="8"/>
    </i>
    <i>
      <x/>
    </i>
    <i t="grand">
      <x/>
    </i>
  </rowItems>
  <colItems count="1">
    <i/>
  </colItems>
  <dataFields count="1">
    <dataField name="Sum of Total Sales" fld="6" baseField="0" baseItem="0" numFmtId="2"/>
  </dataFields>
  <chartFormats count="2">
    <chartFormat chart="13"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116E34-005F-462B-A5FA-72121398D7DF}"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J19:K23" firstHeaderRow="1" firstDataRow="1" firstDataCol="1"/>
  <pivotFields count="14">
    <pivotField dataField="1" showAll="0"/>
    <pivotField showAll="0"/>
    <pivotField showAll="0"/>
    <pivotField showAll="0">
      <items count="6">
        <item x="3"/>
        <item x="2"/>
        <item x="1"/>
        <item x="0"/>
        <item x="4"/>
        <item t="default"/>
      </items>
    </pivotField>
    <pivotField numFmtId="2" showAll="0"/>
    <pivotField numFmtId="2" showAll="0"/>
    <pivotField numFmtId="2" showAll="0"/>
    <pivotField showAll="0"/>
    <pivotField showAll="0">
      <items count="11">
        <item x="6"/>
        <item x="9"/>
        <item x="3"/>
        <item x="2"/>
        <item x="4"/>
        <item x="8"/>
        <item x="5"/>
        <item x="0"/>
        <item x="1"/>
        <item x="7"/>
        <item t="default"/>
      </items>
    </pivotField>
    <pivotField showAll="0"/>
    <pivotField axis="axisRow" showAll="0">
      <items count="4">
        <item x="0"/>
        <item x="2"/>
        <item x="1"/>
        <item t="default"/>
      </items>
    </pivotField>
    <pivotField showAll="0">
      <items count="13">
        <item x="5"/>
        <item x="1"/>
        <item x="0"/>
        <item x="6"/>
        <item x="8"/>
        <item x="10"/>
        <item x="7"/>
        <item x="3"/>
        <item x="9"/>
        <item x="2"/>
        <item x="11"/>
        <item x="4"/>
        <item t="default"/>
      </items>
    </pivotField>
    <pivotField showAll="0"/>
    <pivotField showAll="0"/>
  </pivotFields>
  <rowFields count="1">
    <field x="10"/>
  </rowFields>
  <rowItems count="4">
    <i>
      <x/>
    </i>
    <i>
      <x v="1"/>
    </i>
    <i>
      <x v="2"/>
    </i>
    <i t="grand">
      <x/>
    </i>
  </rowItems>
  <colItems count="1">
    <i/>
  </colItems>
  <dataFields count="1">
    <dataField name="Count of Order ID" fld="0" subtotal="count" baseField="0" baseItem="0"/>
  </dataFields>
  <chartFormats count="9">
    <chartFormat chart="17" format="13" series="1">
      <pivotArea type="data" outline="0" fieldPosition="0">
        <references count="1">
          <reference field="4294967294" count="1" selected="0">
            <x v="0"/>
          </reference>
        </references>
      </pivotArea>
    </chartFormat>
    <chartFormat chart="17" format="14">
      <pivotArea type="data" outline="0" fieldPosition="0">
        <references count="2">
          <reference field="4294967294" count="1" selected="0">
            <x v="0"/>
          </reference>
          <reference field="10" count="1" selected="0">
            <x v="0"/>
          </reference>
        </references>
      </pivotArea>
    </chartFormat>
    <chartFormat chart="17" format="15">
      <pivotArea type="data" outline="0" fieldPosition="0">
        <references count="2">
          <reference field="4294967294" count="1" selected="0">
            <x v="0"/>
          </reference>
          <reference field="10" count="1" selected="0">
            <x v="1"/>
          </reference>
        </references>
      </pivotArea>
    </chartFormat>
    <chartFormat chart="17" format="16">
      <pivotArea type="data" outline="0" fieldPosition="0">
        <references count="2">
          <reference field="4294967294" count="1" selected="0">
            <x v="0"/>
          </reference>
          <reference field="10" count="1" selected="0">
            <x v="2"/>
          </reference>
        </references>
      </pivotArea>
    </chartFormat>
    <chartFormat chart="19" format="17" series="1">
      <pivotArea type="data" outline="0" fieldPosition="0">
        <references count="1">
          <reference field="4294967294" count="1" selected="0">
            <x v="0"/>
          </reference>
        </references>
      </pivotArea>
    </chartFormat>
    <chartFormat chart="19" format="18">
      <pivotArea type="data" outline="0" fieldPosition="0">
        <references count="2">
          <reference field="4294967294" count="1" selected="0">
            <x v="0"/>
          </reference>
          <reference field="10" count="1" selected="0">
            <x v="0"/>
          </reference>
        </references>
      </pivotArea>
    </chartFormat>
    <chartFormat chart="19" format="19">
      <pivotArea type="data" outline="0" fieldPosition="0">
        <references count="2">
          <reference field="4294967294" count="1" selected="0">
            <x v="0"/>
          </reference>
          <reference field="10" count="1" selected="0">
            <x v="1"/>
          </reference>
        </references>
      </pivotArea>
    </chartFormat>
    <chartFormat chart="19" format="20">
      <pivotArea type="data" outline="0" fieldPosition="0">
        <references count="2">
          <reference field="4294967294" count="1" selected="0">
            <x v="0"/>
          </reference>
          <reference field="10" count="1" selected="0">
            <x v="2"/>
          </reference>
        </references>
      </pivotArea>
    </chartFormat>
    <chartFormat chart="17" format="18">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C0DA3C8-E00E-4788-88EB-B3267F01D578}" sourceName="Category">
  <pivotTables>
    <pivotTable tabId="4" name="PivotTable2"/>
    <pivotTable tabId="4" name="PivotTable10"/>
    <pivotTable tabId="4" name="PivotTable13"/>
    <pivotTable tabId="4" name="PivotTable16"/>
    <pivotTable tabId="4" name="PivotTable17"/>
    <pivotTable tabId="4" name="PivotTable3"/>
  </pivotTables>
  <data>
    <tabular pivotCacheId="564334596">
      <items count="5">
        <i x="3" s="1"/>
        <i x="2" s="1"/>
        <i x="1"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Location" xr10:uid="{6D853206-C41F-4673-9367-09322A99C664}" sourceName="Customer Location">
  <pivotTables>
    <pivotTable tabId="4" name="PivotTable2"/>
    <pivotTable tabId="4" name="PivotTable10"/>
    <pivotTable tabId="4" name="PivotTable13"/>
    <pivotTable tabId="4" name="PivotTable16"/>
    <pivotTable tabId="4" name="PivotTable17"/>
    <pivotTable tabId="4" name="PivotTable3"/>
  </pivotTables>
  <data>
    <tabular pivotCacheId="564334596">
      <items count="10">
        <i x="6" s="1"/>
        <i x="9" s="1"/>
        <i x="3" s="1"/>
        <i x="2" s="1"/>
        <i x="4" s="1"/>
        <i x="8" s="1"/>
        <i x="5" s="1"/>
        <i x="0"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C43FAA74-8D2B-450B-8637-11CC6C48150F}" sourceName="Status">
  <pivotTables>
    <pivotTable tabId="4" name="PivotTable2"/>
    <pivotTable tabId="4" name="PivotTable10"/>
    <pivotTable tabId="4" name="PivotTable13"/>
    <pivotTable tabId="4" name="PivotTable16"/>
    <pivotTable tabId="4" name="PivotTable17"/>
    <pivotTable tabId="4" name="PivotTable3"/>
  </pivotTables>
  <data>
    <tabular pivotCacheId="564334596">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38EDA9D-685E-4137-AD1A-29294BB5C62B}" sourceName="Month">
  <pivotTables>
    <pivotTable tabId="4" name="PivotTable2"/>
    <pivotTable tabId="4" name="PivotTable10"/>
    <pivotTable tabId="4" name="PivotTable13"/>
    <pivotTable tabId="4" name="PivotTable16"/>
    <pivotTable tabId="4" name="PivotTable17"/>
    <pivotTable tabId="4" name="PivotTable3"/>
  </pivotTables>
  <data>
    <tabular pivotCacheId="564334596">
      <items count="12">
        <i x="5" s="1"/>
        <i x="1" s="1"/>
        <i x="0" s="1"/>
        <i x="6" s="1"/>
        <i x="8" s="1"/>
        <i x="10" s="1"/>
        <i x="7" s="1"/>
        <i x="3" s="1"/>
        <i x="9" s="1"/>
        <i x="2" s="1"/>
        <i x="1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CFBFB298-BE4C-4A93-9563-6A0FCECF9E51}" cache="Slicer_Category" caption="Category" style="SlicerStyleLight2" rowHeight="209550"/>
  <slicer name="Customer Location 1" xr10:uid="{EE029285-4490-4B3B-A31E-7D0803003181}" cache="Slicer_Customer_Location" caption="Customer Location" style="SlicerStyleLight2" rowHeight="360000"/>
  <slicer name="Status 1" xr10:uid="{72D12C06-DC90-4C5E-91AD-B0A68782E697}" cache="Slicer_Status" caption="Status" style="SlicerStyleLight2" rowHeight="209550"/>
  <slicer name="Month 1" xr10:uid="{6CEA2AE7-0F7A-427A-A5E2-33D982324A67}" cache="Slicer_Month" caption="Month" style="SlicerStyleLight2"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7B722-B0C6-476B-990F-31D884CC3990}">
  <dimension ref="A1:O251"/>
  <sheetViews>
    <sheetView zoomScaleNormal="100" workbookViewId="0">
      <selection activeCell="F26" sqref="F26"/>
    </sheetView>
  </sheetViews>
  <sheetFormatPr defaultRowHeight="13.2" x14ac:dyDescent="0.25"/>
  <cols>
    <col min="1" max="1" width="10.44140625" customWidth="1"/>
    <col min="2" max="2" width="14.109375" customWidth="1"/>
    <col min="3" max="3" width="15.77734375" bestFit="1" customWidth="1"/>
    <col min="4" max="4" width="15.21875" bestFit="1" customWidth="1"/>
    <col min="5" max="5" width="9.5546875" customWidth="1"/>
    <col min="6" max="6" width="10.77734375" customWidth="1"/>
    <col min="7" max="7" width="11.6640625" bestFit="1" customWidth="1"/>
    <col min="8" max="8" width="16.88671875" bestFit="1" customWidth="1"/>
    <col min="9" max="9" width="19.6640625" bestFit="1" customWidth="1"/>
    <col min="10" max="10" width="17.6640625" bestFit="1" customWidth="1"/>
    <col min="11" max="11" width="14.109375" customWidth="1"/>
  </cols>
  <sheetData>
    <row r="1" spans="1:15" ht="13.8" x14ac:dyDescent="0.25">
      <c r="A1" s="10" t="s">
        <v>0</v>
      </c>
      <c r="B1" s="10" t="s">
        <v>1</v>
      </c>
      <c r="C1" s="10" t="s">
        <v>2</v>
      </c>
      <c r="D1" s="10" t="s">
        <v>3</v>
      </c>
      <c r="E1" s="10" t="s">
        <v>4</v>
      </c>
      <c r="F1" s="10" t="s">
        <v>5</v>
      </c>
      <c r="G1" s="10" t="s">
        <v>6</v>
      </c>
      <c r="H1" s="10" t="s">
        <v>7</v>
      </c>
      <c r="I1" s="10" t="s">
        <v>8</v>
      </c>
      <c r="J1" s="10" t="s">
        <v>9</v>
      </c>
      <c r="K1" s="18" t="s">
        <v>10</v>
      </c>
    </row>
    <row r="2" spans="1:15" x14ac:dyDescent="0.25">
      <c r="A2" s="19" t="s">
        <v>11</v>
      </c>
      <c r="B2" s="20">
        <v>45730</v>
      </c>
      <c r="C2" s="21" t="s">
        <v>13</v>
      </c>
      <c r="D2" s="21" t="s">
        <v>14</v>
      </c>
      <c r="E2" s="21">
        <v>60</v>
      </c>
      <c r="F2" s="21">
        <v>3</v>
      </c>
      <c r="G2" s="21">
        <v>180</v>
      </c>
      <c r="H2" s="21" t="s">
        <v>15</v>
      </c>
      <c r="I2" s="21" t="s">
        <v>16</v>
      </c>
      <c r="J2" s="21" t="s">
        <v>17</v>
      </c>
      <c r="K2" s="22" t="s">
        <v>18</v>
      </c>
    </row>
    <row r="3" spans="1:15" x14ac:dyDescent="0.25">
      <c r="A3" s="23" t="s">
        <v>19</v>
      </c>
      <c r="B3" s="24">
        <v>45736</v>
      </c>
      <c r="C3" s="17" t="s">
        <v>21</v>
      </c>
      <c r="D3" s="17" t="s">
        <v>22</v>
      </c>
      <c r="E3" s="17">
        <v>100</v>
      </c>
      <c r="F3" s="17">
        <v>4</v>
      </c>
      <c r="G3" s="17">
        <v>400</v>
      </c>
      <c r="H3" s="17" t="s">
        <v>23</v>
      </c>
      <c r="I3" s="17" t="s">
        <v>24</v>
      </c>
      <c r="J3" s="17" t="s">
        <v>17</v>
      </c>
      <c r="K3" s="25" t="s">
        <v>25</v>
      </c>
    </row>
    <row r="4" spans="1:15" x14ac:dyDescent="0.25">
      <c r="A4" s="23" t="s">
        <v>26</v>
      </c>
      <c r="B4" s="24">
        <v>45703</v>
      </c>
      <c r="C4" s="17" t="s">
        <v>13</v>
      </c>
      <c r="D4" s="17" t="s">
        <v>14</v>
      </c>
      <c r="E4" s="17">
        <v>60</v>
      </c>
      <c r="F4" s="17">
        <v>2</v>
      </c>
      <c r="G4" s="17">
        <v>120</v>
      </c>
      <c r="H4" s="17" t="s">
        <v>28</v>
      </c>
      <c r="I4" s="17" t="s">
        <v>29</v>
      </c>
      <c r="J4" s="17" t="s">
        <v>30</v>
      </c>
      <c r="K4" s="25" t="s">
        <v>18</v>
      </c>
    </row>
    <row r="5" spans="1:15" x14ac:dyDescent="0.25">
      <c r="A5" s="23" t="s">
        <v>31</v>
      </c>
      <c r="B5" s="24">
        <v>45707</v>
      </c>
      <c r="C5" s="17" t="s">
        <v>13</v>
      </c>
      <c r="D5" s="17" t="s">
        <v>14</v>
      </c>
      <c r="E5" s="17">
        <v>60</v>
      </c>
      <c r="F5" s="17">
        <v>3</v>
      </c>
      <c r="G5" s="17">
        <v>180</v>
      </c>
      <c r="H5" s="17" t="s">
        <v>33</v>
      </c>
      <c r="I5" s="17" t="s">
        <v>34</v>
      </c>
      <c r="J5" s="17" t="s">
        <v>35</v>
      </c>
      <c r="K5" s="25" t="s">
        <v>25</v>
      </c>
    </row>
    <row r="6" spans="1:15" x14ac:dyDescent="0.25">
      <c r="A6" s="23" t="s">
        <v>36</v>
      </c>
      <c r="B6" s="24">
        <v>45726</v>
      </c>
      <c r="C6" s="17" t="s">
        <v>37</v>
      </c>
      <c r="D6" s="17" t="s">
        <v>22</v>
      </c>
      <c r="E6" s="17">
        <v>150</v>
      </c>
      <c r="F6" s="17">
        <v>3</v>
      </c>
      <c r="G6" s="17">
        <v>450</v>
      </c>
      <c r="H6" s="17" t="s">
        <v>15</v>
      </c>
      <c r="I6" s="17" t="s">
        <v>16</v>
      </c>
      <c r="J6" s="17" t="s">
        <v>17</v>
      </c>
      <c r="K6" s="25" t="s">
        <v>25</v>
      </c>
    </row>
    <row r="7" spans="1:15" x14ac:dyDescent="0.25">
      <c r="A7" s="23" t="s">
        <v>38</v>
      </c>
      <c r="B7" s="24">
        <v>45730</v>
      </c>
      <c r="C7" s="17" t="s">
        <v>39</v>
      </c>
      <c r="D7" s="17" t="s">
        <v>40</v>
      </c>
      <c r="E7" s="17">
        <v>20</v>
      </c>
      <c r="F7" s="17">
        <v>1</v>
      </c>
      <c r="G7" s="17">
        <v>20</v>
      </c>
      <c r="H7" s="17" t="s">
        <v>28</v>
      </c>
      <c r="I7" s="17" t="s">
        <v>34</v>
      </c>
      <c r="J7" s="17" t="s">
        <v>35</v>
      </c>
      <c r="K7" s="25" t="s">
        <v>25</v>
      </c>
    </row>
    <row r="8" spans="1:15" x14ac:dyDescent="0.25">
      <c r="A8" s="23" t="s">
        <v>41</v>
      </c>
      <c r="B8" s="24">
        <v>45734</v>
      </c>
      <c r="C8" s="17" t="s">
        <v>37</v>
      </c>
      <c r="D8" s="17" t="s">
        <v>22</v>
      </c>
      <c r="E8" s="17">
        <v>150</v>
      </c>
      <c r="F8" s="17">
        <v>4</v>
      </c>
      <c r="G8" s="17">
        <v>600</v>
      </c>
      <c r="H8" s="17" t="s">
        <v>15</v>
      </c>
      <c r="I8" s="17" t="s">
        <v>43</v>
      </c>
      <c r="J8" s="17" t="s">
        <v>44</v>
      </c>
      <c r="K8" s="25" t="s">
        <v>45</v>
      </c>
    </row>
    <row r="9" spans="1:15" x14ac:dyDescent="0.25">
      <c r="A9" s="23" t="s">
        <v>46</v>
      </c>
      <c r="B9" s="24">
        <v>45718</v>
      </c>
      <c r="C9" s="17" t="s">
        <v>47</v>
      </c>
      <c r="D9" s="17" t="s">
        <v>22</v>
      </c>
      <c r="E9" s="17">
        <v>500</v>
      </c>
      <c r="F9" s="17">
        <v>1</v>
      </c>
      <c r="G9" s="17">
        <v>500</v>
      </c>
      <c r="H9" s="17" t="s">
        <v>48</v>
      </c>
      <c r="I9" s="17" t="s">
        <v>49</v>
      </c>
      <c r="J9" s="17" t="s">
        <v>44</v>
      </c>
      <c r="K9" s="25" t="s">
        <v>45</v>
      </c>
    </row>
    <row r="10" spans="1:15" x14ac:dyDescent="0.25">
      <c r="A10" s="23" t="s">
        <v>50</v>
      </c>
      <c r="B10" s="24">
        <v>45724</v>
      </c>
      <c r="C10" s="17" t="s">
        <v>39</v>
      </c>
      <c r="D10" s="17" t="s">
        <v>40</v>
      </c>
      <c r="E10" s="17">
        <v>20</v>
      </c>
      <c r="F10" s="17">
        <v>3</v>
      </c>
      <c r="G10" s="17">
        <v>60</v>
      </c>
      <c r="H10" s="17" t="s">
        <v>48</v>
      </c>
      <c r="I10" s="17" t="s">
        <v>51</v>
      </c>
      <c r="J10" s="17" t="s">
        <v>44</v>
      </c>
      <c r="K10" s="25" t="s">
        <v>45</v>
      </c>
    </row>
    <row r="11" spans="1:15" x14ac:dyDescent="0.25">
      <c r="A11" s="23" t="s">
        <v>52</v>
      </c>
      <c r="B11" s="24">
        <v>45728</v>
      </c>
      <c r="C11" s="17" t="s">
        <v>47</v>
      </c>
      <c r="D11" s="17" t="s">
        <v>22</v>
      </c>
      <c r="E11" s="17">
        <v>500</v>
      </c>
      <c r="F11" s="17">
        <v>1</v>
      </c>
      <c r="G11" s="17">
        <v>500</v>
      </c>
      <c r="H11" s="17" t="s">
        <v>23</v>
      </c>
      <c r="I11" s="17" t="s">
        <v>24</v>
      </c>
      <c r="J11" s="17" t="s">
        <v>35</v>
      </c>
      <c r="K11" s="25" t="s">
        <v>18</v>
      </c>
    </row>
    <row r="12" spans="1:15" x14ac:dyDescent="0.25">
      <c r="A12" s="23" t="s">
        <v>53</v>
      </c>
      <c r="B12" s="24">
        <v>45705</v>
      </c>
      <c r="C12" s="17" t="s">
        <v>55</v>
      </c>
      <c r="D12" s="17" t="s">
        <v>56</v>
      </c>
      <c r="E12" s="17">
        <v>15</v>
      </c>
      <c r="F12" s="17">
        <v>2</v>
      </c>
      <c r="G12" s="17">
        <v>30</v>
      </c>
      <c r="H12" s="17" t="s">
        <v>57</v>
      </c>
      <c r="I12" s="17" t="s">
        <v>51</v>
      </c>
      <c r="J12" s="17" t="s">
        <v>30</v>
      </c>
      <c r="K12" s="25" t="s">
        <v>25</v>
      </c>
      <c r="O12" s="9"/>
    </row>
    <row r="13" spans="1:15" x14ac:dyDescent="0.25">
      <c r="A13" s="23" t="s">
        <v>58</v>
      </c>
      <c r="B13" s="24">
        <v>45729</v>
      </c>
      <c r="C13" s="17" t="s">
        <v>60</v>
      </c>
      <c r="D13" s="17" t="s">
        <v>40</v>
      </c>
      <c r="E13" s="17">
        <v>40</v>
      </c>
      <c r="F13" s="17">
        <v>4</v>
      </c>
      <c r="G13" s="17">
        <v>160</v>
      </c>
      <c r="H13" s="17" t="s">
        <v>61</v>
      </c>
      <c r="I13" s="17" t="s">
        <v>34</v>
      </c>
      <c r="J13" s="17" t="s">
        <v>35</v>
      </c>
      <c r="K13" s="25" t="s">
        <v>45</v>
      </c>
    </row>
    <row r="14" spans="1:15" x14ac:dyDescent="0.25">
      <c r="A14" s="23" t="s">
        <v>62</v>
      </c>
      <c r="B14" s="24">
        <v>45717</v>
      </c>
      <c r="C14" s="17" t="s">
        <v>63</v>
      </c>
      <c r="D14" s="17" t="s">
        <v>22</v>
      </c>
      <c r="E14" s="17">
        <v>800</v>
      </c>
      <c r="F14" s="17">
        <v>2</v>
      </c>
      <c r="G14" s="17">
        <v>1600</v>
      </c>
      <c r="H14" s="17" t="s">
        <v>64</v>
      </c>
      <c r="I14" s="17" t="s">
        <v>24</v>
      </c>
      <c r="J14" s="17" t="s">
        <v>65</v>
      </c>
      <c r="K14" s="25" t="s">
        <v>25</v>
      </c>
    </row>
    <row r="15" spans="1:15" x14ac:dyDescent="0.25">
      <c r="A15" s="23" t="s">
        <v>66</v>
      </c>
      <c r="B15" s="24">
        <v>45720</v>
      </c>
      <c r="C15" s="17" t="s">
        <v>67</v>
      </c>
      <c r="D15" s="17" t="s">
        <v>68</v>
      </c>
      <c r="E15" s="17">
        <v>600</v>
      </c>
      <c r="F15" s="17">
        <v>3</v>
      </c>
      <c r="G15" s="17">
        <v>1800</v>
      </c>
      <c r="H15" s="17" t="s">
        <v>61</v>
      </c>
      <c r="I15" s="17" t="s">
        <v>49</v>
      </c>
      <c r="J15" s="17" t="s">
        <v>35</v>
      </c>
      <c r="K15" s="25" t="s">
        <v>18</v>
      </c>
    </row>
    <row r="16" spans="1:15" x14ac:dyDescent="0.25">
      <c r="A16" s="23" t="s">
        <v>69</v>
      </c>
      <c r="B16" s="24">
        <v>45708</v>
      </c>
      <c r="C16" s="17" t="s">
        <v>37</v>
      </c>
      <c r="D16" s="17" t="s">
        <v>22</v>
      </c>
      <c r="E16" s="17">
        <v>150</v>
      </c>
      <c r="F16" s="17">
        <v>4</v>
      </c>
      <c r="G16" s="17">
        <v>600</v>
      </c>
      <c r="H16" s="17" t="s">
        <v>28</v>
      </c>
      <c r="I16" s="17" t="s">
        <v>71</v>
      </c>
      <c r="J16" s="17" t="s">
        <v>35</v>
      </c>
      <c r="K16" s="25" t="s">
        <v>45</v>
      </c>
    </row>
    <row r="17" spans="1:11" x14ac:dyDescent="0.25">
      <c r="A17" s="23" t="s">
        <v>72</v>
      </c>
      <c r="B17" s="24">
        <v>45714</v>
      </c>
      <c r="C17" s="17" t="s">
        <v>74</v>
      </c>
      <c r="D17" s="17" t="s">
        <v>68</v>
      </c>
      <c r="E17" s="17">
        <v>1200</v>
      </c>
      <c r="F17" s="17">
        <v>1</v>
      </c>
      <c r="G17" s="17">
        <v>1200</v>
      </c>
      <c r="H17" s="17" t="s">
        <v>28</v>
      </c>
      <c r="I17" s="17" t="s">
        <v>51</v>
      </c>
      <c r="J17" s="17" t="s">
        <v>35</v>
      </c>
      <c r="K17" s="25" t="s">
        <v>18</v>
      </c>
    </row>
    <row r="18" spans="1:11" x14ac:dyDescent="0.25">
      <c r="A18" s="23" t="s">
        <v>75</v>
      </c>
      <c r="B18" s="24">
        <v>45748</v>
      </c>
      <c r="C18" s="17" t="s">
        <v>39</v>
      </c>
      <c r="D18" s="17" t="s">
        <v>40</v>
      </c>
      <c r="E18" s="17">
        <v>20</v>
      </c>
      <c r="F18" s="17">
        <v>1</v>
      </c>
      <c r="G18" s="17">
        <v>20</v>
      </c>
      <c r="H18" s="17" t="s">
        <v>15</v>
      </c>
      <c r="I18" s="17" t="s">
        <v>16</v>
      </c>
      <c r="J18" s="17" t="s">
        <v>30</v>
      </c>
      <c r="K18" s="25" t="s">
        <v>45</v>
      </c>
    </row>
    <row r="19" spans="1:11" x14ac:dyDescent="0.25">
      <c r="A19" s="23" t="s">
        <v>76</v>
      </c>
      <c r="B19" s="24">
        <v>45698</v>
      </c>
      <c r="C19" s="17" t="s">
        <v>47</v>
      </c>
      <c r="D19" s="17" t="s">
        <v>22</v>
      </c>
      <c r="E19" s="17">
        <v>500</v>
      </c>
      <c r="F19" s="17">
        <v>2</v>
      </c>
      <c r="G19" s="17">
        <v>1000</v>
      </c>
      <c r="H19" s="17" t="s">
        <v>61</v>
      </c>
      <c r="I19" s="17" t="s">
        <v>77</v>
      </c>
      <c r="J19" s="17" t="s">
        <v>30</v>
      </c>
      <c r="K19" s="25" t="s">
        <v>45</v>
      </c>
    </row>
    <row r="20" spans="1:11" x14ac:dyDescent="0.25">
      <c r="A20" s="23" t="s">
        <v>78</v>
      </c>
      <c r="B20" s="24">
        <v>45738</v>
      </c>
      <c r="C20" s="17" t="s">
        <v>13</v>
      </c>
      <c r="D20" s="17" t="s">
        <v>14</v>
      </c>
      <c r="E20" s="17">
        <v>60</v>
      </c>
      <c r="F20" s="17">
        <v>3</v>
      </c>
      <c r="G20" s="17">
        <v>180</v>
      </c>
      <c r="H20" s="17" t="s">
        <v>33</v>
      </c>
      <c r="I20" s="17" t="s">
        <v>43</v>
      </c>
      <c r="J20" s="17" t="s">
        <v>35</v>
      </c>
      <c r="K20" s="25" t="s">
        <v>45</v>
      </c>
    </row>
    <row r="21" spans="1:11" x14ac:dyDescent="0.25">
      <c r="A21" s="23" t="s">
        <v>80</v>
      </c>
      <c r="B21" s="24">
        <v>45723</v>
      </c>
      <c r="C21" s="17" t="s">
        <v>21</v>
      </c>
      <c r="D21" s="17" t="s">
        <v>22</v>
      </c>
      <c r="E21" s="17">
        <v>100</v>
      </c>
      <c r="F21" s="17">
        <v>4</v>
      </c>
      <c r="G21" s="17">
        <v>400</v>
      </c>
      <c r="H21" s="17" t="s">
        <v>33</v>
      </c>
      <c r="I21" s="17" t="s">
        <v>71</v>
      </c>
      <c r="J21" s="17" t="s">
        <v>17</v>
      </c>
      <c r="K21" s="25" t="s">
        <v>25</v>
      </c>
    </row>
    <row r="22" spans="1:11" x14ac:dyDescent="0.25">
      <c r="A22" s="23" t="s">
        <v>81</v>
      </c>
      <c r="B22" s="24">
        <v>45693</v>
      </c>
      <c r="C22" s="17" t="s">
        <v>21</v>
      </c>
      <c r="D22" s="17" t="s">
        <v>22</v>
      </c>
      <c r="E22" s="17">
        <v>100</v>
      </c>
      <c r="F22" s="17">
        <v>3</v>
      </c>
      <c r="G22" s="17">
        <v>300</v>
      </c>
      <c r="H22" s="17" t="s">
        <v>82</v>
      </c>
      <c r="I22" s="17" t="s">
        <v>49</v>
      </c>
      <c r="J22" s="17" t="s">
        <v>17</v>
      </c>
      <c r="K22" s="25" t="s">
        <v>18</v>
      </c>
    </row>
    <row r="23" spans="1:11" x14ac:dyDescent="0.25">
      <c r="A23" s="23" t="s">
        <v>83</v>
      </c>
      <c r="B23" s="24">
        <v>45723</v>
      </c>
      <c r="C23" s="17" t="s">
        <v>74</v>
      </c>
      <c r="D23" s="17" t="s">
        <v>68</v>
      </c>
      <c r="E23" s="17">
        <v>1200</v>
      </c>
      <c r="F23" s="17">
        <v>4</v>
      </c>
      <c r="G23" s="17">
        <v>4800</v>
      </c>
      <c r="H23" s="17" t="s">
        <v>33</v>
      </c>
      <c r="I23" s="17" t="s">
        <v>43</v>
      </c>
      <c r="J23" s="17" t="s">
        <v>35</v>
      </c>
      <c r="K23" s="25" t="s">
        <v>25</v>
      </c>
    </row>
    <row r="24" spans="1:11" x14ac:dyDescent="0.25">
      <c r="A24" s="23" t="s">
        <v>84</v>
      </c>
      <c r="B24" s="24">
        <v>45711</v>
      </c>
      <c r="C24" s="17" t="s">
        <v>55</v>
      </c>
      <c r="D24" s="17" t="s">
        <v>56</v>
      </c>
      <c r="E24" s="17">
        <v>15</v>
      </c>
      <c r="F24" s="17">
        <v>1</v>
      </c>
      <c r="G24" s="17">
        <v>15</v>
      </c>
      <c r="H24" s="17" t="s">
        <v>15</v>
      </c>
      <c r="I24" s="17" t="s">
        <v>43</v>
      </c>
      <c r="J24" s="17" t="s">
        <v>35</v>
      </c>
      <c r="K24" s="25" t="s">
        <v>25</v>
      </c>
    </row>
    <row r="25" spans="1:11" x14ac:dyDescent="0.25">
      <c r="A25" s="23" t="s">
        <v>86</v>
      </c>
      <c r="B25" s="24">
        <v>45740</v>
      </c>
      <c r="C25" s="17" t="s">
        <v>74</v>
      </c>
      <c r="D25" s="17" t="s">
        <v>68</v>
      </c>
      <c r="E25" s="17">
        <v>1200</v>
      </c>
      <c r="F25" s="17">
        <v>3</v>
      </c>
      <c r="G25" s="17">
        <v>3600</v>
      </c>
      <c r="H25" s="17" t="s">
        <v>82</v>
      </c>
      <c r="I25" s="17" t="s">
        <v>34</v>
      </c>
      <c r="J25" s="17" t="s">
        <v>35</v>
      </c>
      <c r="K25" s="25" t="s">
        <v>18</v>
      </c>
    </row>
    <row r="26" spans="1:11" x14ac:dyDescent="0.25">
      <c r="A26" s="23" t="s">
        <v>88</v>
      </c>
      <c r="B26" s="24">
        <v>45718</v>
      </c>
      <c r="C26" s="17" t="s">
        <v>55</v>
      </c>
      <c r="D26" s="17" t="s">
        <v>56</v>
      </c>
      <c r="E26" s="17">
        <v>15</v>
      </c>
      <c r="F26" s="17">
        <v>5</v>
      </c>
      <c r="G26" s="17">
        <v>75</v>
      </c>
      <c r="H26" s="17" t="s">
        <v>48</v>
      </c>
      <c r="I26" s="17" t="s">
        <v>71</v>
      </c>
      <c r="J26" s="17" t="s">
        <v>30</v>
      </c>
      <c r="K26" s="25" t="s">
        <v>45</v>
      </c>
    </row>
    <row r="27" spans="1:11" x14ac:dyDescent="0.25">
      <c r="A27" s="23" t="s">
        <v>89</v>
      </c>
      <c r="B27" s="24">
        <v>45702</v>
      </c>
      <c r="C27" s="17" t="s">
        <v>67</v>
      </c>
      <c r="D27" s="17" t="s">
        <v>68</v>
      </c>
      <c r="E27" s="17">
        <v>600</v>
      </c>
      <c r="F27" s="17">
        <v>1</v>
      </c>
      <c r="G27" s="17">
        <v>600</v>
      </c>
      <c r="H27" s="17" t="s">
        <v>33</v>
      </c>
      <c r="I27" s="17" t="s">
        <v>51</v>
      </c>
      <c r="J27" s="17" t="s">
        <v>17</v>
      </c>
      <c r="K27" s="25" t="s">
        <v>18</v>
      </c>
    </row>
    <row r="28" spans="1:11" x14ac:dyDescent="0.25">
      <c r="A28" s="23" t="s">
        <v>91</v>
      </c>
      <c r="B28" s="24">
        <v>45695</v>
      </c>
      <c r="C28" s="17" t="s">
        <v>39</v>
      </c>
      <c r="D28" s="17" t="s">
        <v>40</v>
      </c>
      <c r="E28" s="17">
        <v>20</v>
      </c>
      <c r="F28" s="17">
        <v>1</v>
      </c>
      <c r="G28" s="17">
        <v>20</v>
      </c>
      <c r="H28" s="17" t="s">
        <v>64</v>
      </c>
      <c r="I28" s="17" t="s">
        <v>16</v>
      </c>
      <c r="J28" s="17" t="s">
        <v>30</v>
      </c>
      <c r="K28" s="25" t="s">
        <v>25</v>
      </c>
    </row>
    <row r="29" spans="1:11" x14ac:dyDescent="0.25">
      <c r="A29" s="23" t="s">
        <v>92</v>
      </c>
      <c r="B29" s="24">
        <v>45691</v>
      </c>
      <c r="C29" s="17" t="s">
        <v>21</v>
      </c>
      <c r="D29" s="17" t="s">
        <v>22</v>
      </c>
      <c r="E29" s="17">
        <v>100</v>
      </c>
      <c r="F29" s="17">
        <v>1</v>
      </c>
      <c r="G29" s="17">
        <v>100</v>
      </c>
      <c r="H29" s="17" t="s">
        <v>93</v>
      </c>
      <c r="I29" s="17" t="s">
        <v>94</v>
      </c>
      <c r="J29" s="17" t="s">
        <v>30</v>
      </c>
      <c r="K29" s="25" t="s">
        <v>45</v>
      </c>
    </row>
    <row r="30" spans="1:11" x14ac:dyDescent="0.25">
      <c r="A30" s="23" t="s">
        <v>95</v>
      </c>
      <c r="B30" s="24">
        <v>45700</v>
      </c>
      <c r="C30" s="17" t="s">
        <v>47</v>
      </c>
      <c r="D30" s="17" t="s">
        <v>22</v>
      </c>
      <c r="E30" s="17">
        <v>500</v>
      </c>
      <c r="F30" s="17">
        <v>1</v>
      </c>
      <c r="G30" s="17">
        <v>500</v>
      </c>
      <c r="H30" s="17" t="s">
        <v>48</v>
      </c>
      <c r="I30" s="17" t="s">
        <v>29</v>
      </c>
      <c r="J30" s="17" t="s">
        <v>35</v>
      </c>
      <c r="K30" s="25" t="s">
        <v>18</v>
      </c>
    </row>
    <row r="31" spans="1:11" x14ac:dyDescent="0.25">
      <c r="A31" s="23" t="s">
        <v>96</v>
      </c>
      <c r="B31" s="24">
        <v>45698</v>
      </c>
      <c r="C31" s="17" t="s">
        <v>67</v>
      </c>
      <c r="D31" s="17" t="s">
        <v>68</v>
      </c>
      <c r="E31" s="17">
        <v>600</v>
      </c>
      <c r="F31" s="17">
        <v>3</v>
      </c>
      <c r="G31" s="17">
        <v>1800</v>
      </c>
      <c r="H31" s="17" t="s">
        <v>23</v>
      </c>
      <c r="I31" s="17" t="s">
        <v>34</v>
      </c>
      <c r="J31" s="17" t="s">
        <v>65</v>
      </c>
      <c r="K31" s="25" t="s">
        <v>18</v>
      </c>
    </row>
    <row r="32" spans="1:11" x14ac:dyDescent="0.25">
      <c r="A32" s="23" t="s">
        <v>97</v>
      </c>
      <c r="B32" s="24">
        <v>45740</v>
      </c>
      <c r="C32" s="17" t="s">
        <v>47</v>
      </c>
      <c r="D32" s="17" t="s">
        <v>22</v>
      </c>
      <c r="E32" s="17">
        <v>500</v>
      </c>
      <c r="F32" s="17">
        <v>1</v>
      </c>
      <c r="G32" s="17">
        <v>500</v>
      </c>
      <c r="H32" s="17" t="s">
        <v>28</v>
      </c>
      <c r="I32" s="17" t="s">
        <v>43</v>
      </c>
      <c r="J32" s="17" t="s">
        <v>65</v>
      </c>
      <c r="K32" s="25" t="s">
        <v>25</v>
      </c>
    </row>
    <row r="33" spans="1:11" x14ac:dyDescent="0.25">
      <c r="A33" s="23" t="s">
        <v>98</v>
      </c>
      <c r="B33" s="24">
        <v>45726</v>
      </c>
      <c r="C33" s="17" t="s">
        <v>47</v>
      </c>
      <c r="D33" s="17" t="s">
        <v>22</v>
      </c>
      <c r="E33" s="17">
        <v>500</v>
      </c>
      <c r="F33" s="17">
        <v>4</v>
      </c>
      <c r="G33" s="17">
        <v>2000</v>
      </c>
      <c r="H33" s="17" t="s">
        <v>61</v>
      </c>
      <c r="I33" s="17" t="s">
        <v>71</v>
      </c>
      <c r="J33" s="17" t="s">
        <v>44</v>
      </c>
      <c r="K33" s="25" t="s">
        <v>25</v>
      </c>
    </row>
    <row r="34" spans="1:11" x14ac:dyDescent="0.25">
      <c r="A34" s="23" t="s">
        <v>99</v>
      </c>
      <c r="B34" s="24">
        <v>45692</v>
      </c>
      <c r="C34" s="17" t="s">
        <v>55</v>
      </c>
      <c r="D34" s="17" t="s">
        <v>56</v>
      </c>
      <c r="E34" s="17">
        <v>15</v>
      </c>
      <c r="F34" s="17">
        <v>1</v>
      </c>
      <c r="G34" s="17">
        <v>15</v>
      </c>
      <c r="H34" s="17" t="s">
        <v>33</v>
      </c>
      <c r="I34" s="17" t="s">
        <v>16</v>
      </c>
      <c r="J34" s="17" t="s">
        <v>17</v>
      </c>
      <c r="K34" s="25" t="s">
        <v>18</v>
      </c>
    </row>
    <row r="35" spans="1:11" x14ac:dyDescent="0.25">
      <c r="A35" s="23" t="s">
        <v>100</v>
      </c>
      <c r="B35" s="24">
        <v>45749</v>
      </c>
      <c r="C35" s="17" t="s">
        <v>39</v>
      </c>
      <c r="D35" s="17" t="s">
        <v>40</v>
      </c>
      <c r="E35" s="17">
        <v>20</v>
      </c>
      <c r="F35" s="17">
        <v>5</v>
      </c>
      <c r="G35" s="17">
        <v>100</v>
      </c>
      <c r="H35" s="17" t="s">
        <v>93</v>
      </c>
      <c r="I35" s="17" t="s">
        <v>16</v>
      </c>
      <c r="J35" s="17" t="s">
        <v>35</v>
      </c>
      <c r="K35" s="25" t="s">
        <v>25</v>
      </c>
    </row>
    <row r="36" spans="1:11" x14ac:dyDescent="0.25">
      <c r="A36" s="23" t="s">
        <v>101</v>
      </c>
      <c r="B36" s="24">
        <v>45749</v>
      </c>
      <c r="C36" s="17" t="s">
        <v>63</v>
      </c>
      <c r="D36" s="17" t="s">
        <v>22</v>
      </c>
      <c r="E36" s="17">
        <v>800</v>
      </c>
      <c r="F36" s="17">
        <v>3</v>
      </c>
      <c r="G36" s="17">
        <v>2400</v>
      </c>
      <c r="H36" s="17" t="s">
        <v>15</v>
      </c>
      <c r="I36" s="17" t="s">
        <v>29</v>
      </c>
      <c r="J36" s="17" t="s">
        <v>30</v>
      </c>
      <c r="K36" s="25" t="s">
        <v>45</v>
      </c>
    </row>
    <row r="37" spans="1:11" x14ac:dyDescent="0.25">
      <c r="A37" s="23" t="s">
        <v>102</v>
      </c>
      <c r="B37" s="24">
        <v>45697</v>
      </c>
      <c r="C37" s="17" t="s">
        <v>74</v>
      </c>
      <c r="D37" s="17" t="s">
        <v>68</v>
      </c>
      <c r="E37" s="17">
        <v>1200</v>
      </c>
      <c r="F37" s="17">
        <v>2</v>
      </c>
      <c r="G37" s="17">
        <v>2400</v>
      </c>
      <c r="H37" s="17" t="s">
        <v>48</v>
      </c>
      <c r="I37" s="17" t="s">
        <v>51</v>
      </c>
      <c r="J37" s="17" t="s">
        <v>44</v>
      </c>
      <c r="K37" s="25" t="s">
        <v>18</v>
      </c>
    </row>
    <row r="38" spans="1:11" x14ac:dyDescent="0.25">
      <c r="A38" s="23" t="s">
        <v>103</v>
      </c>
      <c r="B38" s="24">
        <v>45704</v>
      </c>
      <c r="C38" s="17" t="s">
        <v>21</v>
      </c>
      <c r="D38" s="17" t="s">
        <v>22</v>
      </c>
      <c r="E38" s="17">
        <v>100</v>
      </c>
      <c r="F38" s="17">
        <v>3</v>
      </c>
      <c r="G38" s="17">
        <v>300</v>
      </c>
      <c r="H38" s="17" t="s">
        <v>61</v>
      </c>
      <c r="I38" s="17" t="s">
        <v>16</v>
      </c>
      <c r="J38" s="17" t="s">
        <v>17</v>
      </c>
      <c r="K38" s="25" t="s">
        <v>18</v>
      </c>
    </row>
    <row r="39" spans="1:11" x14ac:dyDescent="0.25">
      <c r="A39" s="23" t="s">
        <v>105</v>
      </c>
      <c r="B39" s="24">
        <v>45742</v>
      </c>
      <c r="C39" s="17" t="s">
        <v>63</v>
      </c>
      <c r="D39" s="17" t="s">
        <v>22</v>
      </c>
      <c r="E39" s="17">
        <v>800</v>
      </c>
      <c r="F39" s="17">
        <v>3</v>
      </c>
      <c r="G39" s="17">
        <v>2400</v>
      </c>
      <c r="H39" s="17" t="s">
        <v>33</v>
      </c>
      <c r="I39" s="17" t="s">
        <v>94</v>
      </c>
      <c r="J39" s="17" t="s">
        <v>30</v>
      </c>
      <c r="K39" s="25" t="s">
        <v>45</v>
      </c>
    </row>
    <row r="40" spans="1:11" x14ac:dyDescent="0.25">
      <c r="A40" s="23" t="s">
        <v>107</v>
      </c>
      <c r="B40" s="24">
        <v>45718</v>
      </c>
      <c r="C40" s="17" t="s">
        <v>63</v>
      </c>
      <c r="D40" s="17" t="s">
        <v>22</v>
      </c>
      <c r="E40" s="17">
        <v>800</v>
      </c>
      <c r="F40" s="17">
        <v>2</v>
      </c>
      <c r="G40" s="17">
        <v>1600</v>
      </c>
      <c r="H40" s="17" t="s">
        <v>33</v>
      </c>
      <c r="I40" s="17" t="s">
        <v>24</v>
      </c>
      <c r="J40" s="17" t="s">
        <v>44</v>
      </c>
      <c r="K40" s="25" t="s">
        <v>45</v>
      </c>
    </row>
    <row r="41" spans="1:11" x14ac:dyDescent="0.25">
      <c r="A41" s="23" t="s">
        <v>108</v>
      </c>
      <c r="B41" s="24">
        <v>45742</v>
      </c>
      <c r="C41" s="17" t="s">
        <v>37</v>
      </c>
      <c r="D41" s="17" t="s">
        <v>22</v>
      </c>
      <c r="E41" s="17">
        <v>150</v>
      </c>
      <c r="F41" s="17">
        <v>1</v>
      </c>
      <c r="G41" s="17">
        <v>150</v>
      </c>
      <c r="H41" s="17" t="s">
        <v>23</v>
      </c>
      <c r="I41" s="17" t="s">
        <v>71</v>
      </c>
      <c r="J41" s="17" t="s">
        <v>65</v>
      </c>
      <c r="K41" s="25" t="s">
        <v>25</v>
      </c>
    </row>
    <row r="42" spans="1:11" x14ac:dyDescent="0.25">
      <c r="A42" s="23" t="s">
        <v>109</v>
      </c>
      <c r="B42" s="24">
        <v>45708</v>
      </c>
      <c r="C42" s="17" t="s">
        <v>55</v>
      </c>
      <c r="D42" s="17" t="s">
        <v>56</v>
      </c>
      <c r="E42" s="17">
        <v>15</v>
      </c>
      <c r="F42" s="17">
        <v>1</v>
      </c>
      <c r="G42" s="17">
        <v>15</v>
      </c>
      <c r="H42" s="17" t="s">
        <v>93</v>
      </c>
      <c r="I42" s="17" t="s">
        <v>49</v>
      </c>
      <c r="J42" s="17" t="s">
        <v>35</v>
      </c>
      <c r="K42" s="25" t="s">
        <v>18</v>
      </c>
    </row>
    <row r="43" spans="1:11" x14ac:dyDescent="0.25">
      <c r="A43" s="23" t="s">
        <v>110</v>
      </c>
      <c r="B43" s="24">
        <v>45733</v>
      </c>
      <c r="C43" s="17" t="s">
        <v>21</v>
      </c>
      <c r="D43" s="17" t="s">
        <v>22</v>
      </c>
      <c r="E43" s="17">
        <v>100</v>
      </c>
      <c r="F43" s="17">
        <v>3</v>
      </c>
      <c r="G43" s="17">
        <v>300</v>
      </c>
      <c r="H43" s="17" t="s">
        <v>93</v>
      </c>
      <c r="I43" s="17" t="s">
        <v>94</v>
      </c>
      <c r="J43" s="17" t="s">
        <v>30</v>
      </c>
      <c r="K43" s="25" t="s">
        <v>18</v>
      </c>
    </row>
    <row r="44" spans="1:11" x14ac:dyDescent="0.25">
      <c r="A44" s="23" t="s">
        <v>112</v>
      </c>
      <c r="B44" s="24">
        <v>45696</v>
      </c>
      <c r="C44" s="17" t="s">
        <v>39</v>
      </c>
      <c r="D44" s="17" t="s">
        <v>40</v>
      </c>
      <c r="E44" s="17">
        <v>20</v>
      </c>
      <c r="F44" s="17">
        <v>4</v>
      </c>
      <c r="G44" s="17">
        <v>80</v>
      </c>
      <c r="H44" s="17" t="s">
        <v>93</v>
      </c>
      <c r="I44" s="17" t="s">
        <v>29</v>
      </c>
      <c r="J44" s="17" t="s">
        <v>35</v>
      </c>
      <c r="K44" s="25" t="s">
        <v>25</v>
      </c>
    </row>
    <row r="45" spans="1:11" x14ac:dyDescent="0.25">
      <c r="A45" s="23" t="s">
        <v>113</v>
      </c>
      <c r="B45" s="24">
        <v>45740</v>
      </c>
      <c r="C45" s="17" t="s">
        <v>37</v>
      </c>
      <c r="D45" s="17" t="s">
        <v>22</v>
      </c>
      <c r="E45" s="17">
        <v>150</v>
      </c>
      <c r="F45" s="17">
        <v>1</v>
      </c>
      <c r="G45" s="17">
        <v>150</v>
      </c>
      <c r="H45" s="17" t="s">
        <v>82</v>
      </c>
      <c r="I45" s="17" t="s">
        <v>43</v>
      </c>
      <c r="J45" s="17" t="s">
        <v>17</v>
      </c>
      <c r="K45" s="25" t="s">
        <v>25</v>
      </c>
    </row>
    <row r="46" spans="1:11" x14ac:dyDescent="0.25">
      <c r="A46" s="23" t="s">
        <v>114</v>
      </c>
      <c r="B46" s="24">
        <v>45731</v>
      </c>
      <c r="C46" s="17" t="s">
        <v>74</v>
      </c>
      <c r="D46" s="17" t="s">
        <v>68</v>
      </c>
      <c r="E46" s="17">
        <v>1200</v>
      </c>
      <c r="F46" s="17">
        <v>3</v>
      </c>
      <c r="G46" s="17">
        <v>3600</v>
      </c>
      <c r="H46" s="17" t="s">
        <v>64</v>
      </c>
      <c r="I46" s="17" t="s">
        <v>16</v>
      </c>
      <c r="J46" s="17" t="s">
        <v>35</v>
      </c>
      <c r="K46" s="25" t="s">
        <v>25</v>
      </c>
    </row>
    <row r="47" spans="1:11" x14ac:dyDescent="0.25">
      <c r="A47" s="23" t="s">
        <v>116</v>
      </c>
      <c r="B47" s="24">
        <v>45722</v>
      </c>
      <c r="C47" s="17" t="s">
        <v>13</v>
      </c>
      <c r="D47" s="17" t="s">
        <v>14</v>
      </c>
      <c r="E47" s="17">
        <v>60</v>
      </c>
      <c r="F47" s="17">
        <v>2</v>
      </c>
      <c r="G47" s="17">
        <v>120</v>
      </c>
      <c r="H47" s="17" t="s">
        <v>57</v>
      </c>
      <c r="I47" s="17" t="s">
        <v>43</v>
      </c>
      <c r="J47" s="17" t="s">
        <v>17</v>
      </c>
      <c r="K47" s="25" t="s">
        <v>18</v>
      </c>
    </row>
    <row r="48" spans="1:11" x14ac:dyDescent="0.25">
      <c r="A48" s="23" t="s">
        <v>117</v>
      </c>
      <c r="B48" s="24">
        <v>45742</v>
      </c>
      <c r="C48" s="17" t="s">
        <v>39</v>
      </c>
      <c r="D48" s="17" t="s">
        <v>40</v>
      </c>
      <c r="E48" s="17">
        <v>20</v>
      </c>
      <c r="F48" s="17">
        <v>2</v>
      </c>
      <c r="G48" s="17">
        <v>40</v>
      </c>
      <c r="H48" s="17" t="s">
        <v>82</v>
      </c>
      <c r="I48" s="17" t="s">
        <v>49</v>
      </c>
      <c r="J48" s="17" t="s">
        <v>65</v>
      </c>
      <c r="K48" s="25" t="s">
        <v>18</v>
      </c>
    </row>
    <row r="49" spans="1:11" x14ac:dyDescent="0.25">
      <c r="A49" s="23" t="s">
        <v>118</v>
      </c>
      <c r="B49" s="24">
        <v>45699</v>
      </c>
      <c r="C49" s="17" t="s">
        <v>39</v>
      </c>
      <c r="D49" s="17" t="s">
        <v>40</v>
      </c>
      <c r="E49" s="17">
        <v>20</v>
      </c>
      <c r="F49" s="17">
        <v>5</v>
      </c>
      <c r="G49" s="17">
        <v>100</v>
      </c>
      <c r="H49" s="17" t="s">
        <v>93</v>
      </c>
      <c r="I49" s="17" t="s">
        <v>29</v>
      </c>
      <c r="J49" s="17" t="s">
        <v>30</v>
      </c>
      <c r="K49" s="25" t="s">
        <v>45</v>
      </c>
    </row>
    <row r="50" spans="1:11" x14ac:dyDescent="0.25">
      <c r="A50" s="23" t="s">
        <v>119</v>
      </c>
      <c r="B50" s="24">
        <v>45706</v>
      </c>
      <c r="C50" s="17" t="s">
        <v>47</v>
      </c>
      <c r="D50" s="17" t="s">
        <v>22</v>
      </c>
      <c r="E50" s="17">
        <v>500</v>
      </c>
      <c r="F50" s="17">
        <v>4</v>
      </c>
      <c r="G50" s="17">
        <v>2000</v>
      </c>
      <c r="H50" s="17" t="s">
        <v>15</v>
      </c>
      <c r="I50" s="17" t="s">
        <v>94</v>
      </c>
      <c r="J50" s="17" t="s">
        <v>17</v>
      </c>
      <c r="K50" s="25" t="s">
        <v>45</v>
      </c>
    </row>
    <row r="51" spans="1:11" x14ac:dyDescent="0.25">
      <c r="A51" s="23" t="s">
        <v>121</v>
      </c>
      <c r="B51" s="24">
        <v>45730</v>
      </c>
      <c r="C51" s="17" t="s">
        <v>60</v>
      </c>
      <c r="D51" s="17" t="s">
        <v>40</v>
      </c>
      <c r="E51" s="17">
        <v>40</v>
      </c>
      <c r="F51" s="17">
        <v>3</v>
      </c>
      <c r="G51" s="17">
        <v>120</v>
      </c>
      <c r="H51" s="17" t="s">
        <v>28</v>
      </c>
      <c r="I51" s="17" t="s">
        <v>51</v>
      </c>
      <c r="J51" s="17" t="s">
        <v>65</v>
      </c>
      <c r="K51" s="25" t="s">
        <v>45</v>
      </c>
    </row>
    <row r="52" spans="1:11" x14ac:dyDescent="0.25">
      <c r="A52" s="23" t="s">
        <v>122</v>
      </c>
      <c r="B52" s="24">
        <v>45707</v>
      </c>
      <c r="C52" s="17" t="s">
        <v>55</v>
      </c>
      <c r="D52" s="17" t="s">
        <v>56</v>
      </c>
      <c r="E52" s="17">
        <v>15</v>
      </c>
      <c r="F52" s="17">
        <v>1</v>
      </c>
      <c r="G52" s="17">
        <v>15</v>
      </c>
      <c r="H52" s="17" t="s">
        <v>15</v>
      </c>
      <c r="I52" s="17" t="s">
        <v>43</v>
      </c>
      <c r="J52" s="17" t="s">
        <v>65</v>
      </c>
      <c r="K52" s="25" t="s">
        <v>18</v>
      </c>
    </row>
    <row r="53" spans="1:11" x14ac:dyDescent="0.25">
      <c r="A53" s="23" t="s">
        <v>123</v>
      </c>
      <c r="B53" s="24">
        <v>45712</v>
      </c>
      <c r="C53" s="17" t="s">
        <v>63</v>
      </c>
      <c r="D53" s="17" t="s">
        <v>22</v>
      </c>
      <c r="E53" s="17">
        <v>800</v>
      </c>
      <c r="F53" s="17">
        <v>3</v>
      </c>
      <c r="G53" s="17">
        <v>2400</v>
      </c>
      <c r="H53" s="17" t="s">
        <v>28</v>
      </c>
      <c r="I53" s="17" t="s">
        <v>24</v>
      </c>
      <c r="J53" s="17" t="s">
        <v>35</v>
      </c>
      <c r="K53" s="25" t="s">
        <v>25</v>
      </c>
    </row>
    <row r="54" spans="1:11" x14ac:dyDescent="0.25">
      <c r="A54" s="23" t="s">
        <v>125</v>
      </c>
      <c r="B54" s="24">
        <v>45740</v>
      </c>
      <c r="C54" s="17" t="s">
        <v>13</v>
      </c>
      <c r="D54" s="17" t="s">
        <v>14</v>
      </c>
      <c r="E54" s="17">
        <v>60</v>
      </c>
      <c r="F54" s="17">
        <v>4</v>
      </c>
      <c r="G54" s="17">
        <v>240</v>
      </c>
      <c r="H54" s="17" t="s">
        <v>23</v>
      </c>
      <c r="I54" s="17" t="s">
        <v>77</v>
      </c>
      <c r="J54" s="17" t="s">
        <v>44</v>
      </c>
      <c r="K54" s="25" t="s">
        <v>45</v>
      </c>
    </row>
    <row r="55" spans="1:11" x14ac:dyDescent="0.25">
      <c r="A55" s="23" t="s">
        <v>126</v>
      </c>
      <c r="B55" s="24">
        <v>45731</v>
      </c>
      <c r="C55" s="17" t="s">
        <v>37</v>
      </c>
      <c r="D55" s="17" t="s">
        <v>22</v>
      </c>
      <c r="E55" s="17">
        <v>150</v>
      </c>
      <c r="F55" s="17">
        <v>3</v>
      </c>
      <c r="G55" s="17">
        <v>450</v>
      </c>
      <c r="H55" s="17" t="s">
        <v>57</v>
      </c>
      <c r="I55" s="17" t="s">
        <v>51</v>
      </c>
      <c r="J55" s="17" t="s">
        <v>65</v>
      </c>
      <c r="K55" s="25" t="s">
        <v>25</v>
      </c>
    </row>
    <row r="56" spans="1:11" x14ac:dyDescent="0.25">
      <c r="A56" s="23" t="s">
        <v>127</v>
      </c>
      <c r="B56" s="24">
        <v>45731</v>
      </c>
      <c r="C56" s="17" t="s">
        <v>60</v>
      </c>
      <c r="D56" s="17" t="s">
        <v>40</v>
      </c>
      <c r="E56" s="17">
        <v>40</v>
      </c>
      <c r="F56" s="17">
        <v>2</v>
      </c>
      <c r="G56" s="17">
        <v>80</v>
      </c>
      <c r="H56" s="17" t="s">
        <v>48</v>
      </c>
      <c r="I56" s="17" t="s">
        <v>34</v>
      </c>
      <c r="J56" s="17" t="s">
        <v>44</v>
      </c>
      <c r="K56" s="25" t="s">
        <v>45</v>
      </c>
    </row>
    <row r="57" spans="1:11" x14ac:dyDescent="0.25">
      <c r="A57" s="23" t="s">
        <v>128</v>
      </c>
      <c r="B57" s="24">
        <v>45735</v>
      </c>
      <c r="C57" s="17" t="s">
        <v>37</v>
      </c>
      <c r="D57" s="17" t="s">
        <v>22</v>
      </c>
      <c r="E57" s="17">
        <v>150</v>
      </c>
      <c r="F57" s="17">
        <v>2</v>
      </c>
      <c r="G57" s="17">
        <v>300</v>
      </c>
      <c r="H57" s="17" t="s">
        <v>15</v>
      </c>
      <c r="I57" s="17" t="s">
        <v>34</v>
      </c>
      <c r="J57" s="17" t="s">
        <v>35</v>
      </c>
      <c r="K57" s="25" t="s">
        <v>45</v>
      </c>
    </row>
    <row r="58" spans="1:11" x14ac:dyDescent="0.25">
      <c r="A58" s="23" t="s">
        <v>130</v>
      </c>
      <c r="B58" s="24">
        <v>45731</v>
      </c>
      <c r="C58" s="17" t="s">
        <v>47</v>
      </c>
      <c r="D58" s="17" t="s">
        <v>22</v>
      </c>
      <c r="E58" s="17">
        <v>500</v>
      </c>
      <c r="F58" s="17">
        <v>1</v>
      </c>
      <c r="G58" s="17">
        <v>500</v>
      </c>
      <c r="H58" s="17" t="s">
        <v>93</v>
      </c>
      <c r="I58" s="17" t="s">
        <v>77</v>
      </c>
      <c r="J58" s="17" t="s">
        <v>17</v>
      </c>
      <c r="K58" s="25" t="s">
        <v>18</v>
      </c>
    </row>
    <row r="59" spans="1:11" x14ac:dyDescent="0.25">
      <c r="A59" s="23" t="s">
        <v>131</v>
      </c>
      <c r="B59" s="24">
        <v>45729</v>
      </c>
      <c r="C59" s="17" t="s">
        <v>47</v>
      </c>
      <c r="D59" s="17" t="s">
        <v>22</v>
      </c>
      <c r="E59" s="17">
        <v>500</v>
      </c>
      <c r="F59" s="17">
        <v>1</v>
      </c>
      <c r="G59" s="17">
        <v>500</v>
      </c>
      <c r="H59" s="17" t="s">
        <v>93</v>
      </c>
      <c r="I59" s="17" t="s">
        <v>94</v>
      </c>
      <c r="J59" s="17" t="s">
        <v>44</v>
      </c>
      <c r="K59" s="25" t="s">
        <v>18</v>
      </c>
    </row>
    <row r="60" spans="1:11" x14ac:dyDescent="0.25">
      <c r="A60" s="23" t="s">
        <v>132</v>
      </c>
      <c r="B60" s="24">
        <v>45748</v>
      </c>
      <c r="C60" s="17" t="s">
        <v>37</v>
      </c>
      <c r="D60" s="17" t="s">
        <v>22</v>
      </c>
      <c r="E60" s="17">
        <v>150</v>
      </c>
      <c r="F60" s="17">
        <v>2</v>
      </c>
      <c r="G60" s="17">
        <v>300</v>
      </c>
      <c r="H60" s="17" t="s">
        <v>64</v>
      </c>
      <c r="I60" s="17" t="s">
        <v>34</v>
      </c>
      <c r="J60" s="17" t="s">
        <v>35</v>
      </c>
      <c r="K60" s="25" t="s">
        <v>18</v>
      </c>
    </row>
    <row r="61" spans="1:11" x14ac:dyDescent="0.25">
      <c r="A61" s="23" t="s">
        <v>133</v>
      </c>
      <c r="B61" s="24">
        <v>45728</v>
      </c>
      <c r="C61" s="17" t="s">
        <v>55</v>
      </c>
      <c r="D61" s="17" t="s">
        <v>56</v>
      </c>
      <c r="E61" s="17">
        <v>15</v>
      </c>
      <c r="F61" s="17">
        <v>5</v>
      </c>
      <c r="G61" s="17">
        <v>75</v>
      </c>
      <c r="H61" s="17" t="s">
        <v>93</v>
      </c>
      <c r="I61" s="17" t="s">
        <v>34</v>
      </c>
      <c r="J61" s="17" t="s">
        <v>35</v>
      </c>
      <c r="K61" s="25" t="s">
        <v>25</v>
      </c>
    </row>
    <row r="62" spans="1:11" x14ac:dyDescent="0.25">
      <c r="A62" s="23" t="s">
        <v>134</v>
      </c>
      <c r="B62" s="24">
        <v>45727</v>
      </c>
      <c r="C62" s="17" t="s">
        <v>74</v>
      </c>
      <c r="D62" s="17" t="s">
        <v>68</v>
      </c>
      <c r="E62" s="17">
        <v>1200</v>
      </c>
      <c r="F62" s="17">
        <v>1</v>
      </c>
      <c r="G62" s="17">
        <v>1200</v>
      </c>
      <c r="H62" s="17" t="s">
        <v>93</v>
      </c>
      <c r="I62" s="17" t="s">
        <v>16</v>
      </c>
      <c r="J62" s="17" t="s">
        <v>44</v>
      </c>
      <c r="K62" s="25" t="s">
        <v>18</v>
      </c>
    </row>
    <row r="63" spans="1:11" x14ac:dyDescent="0.25">
      <c r="A63" s="23" t="s">
        <v>135</v>
      </c>
      <c r="B63" s="24">
        <v>45698</v>
      </c>
      <c r="C63" s="17" t="s">
        <v>63</v>
      </c>
      <c r="D63" s="17" t="s">
        <v>22</v>
      </c>
      <c r="E63" s="17">
        <v>800</v>
      </c>
      <c r="F63" s="17">
        <v>5</v>
      </c>
      <c r="G63" s="17">
        <v>4000</v>
      </c>
      <c r="H63" s="17" t="s">
        <v>33</v>
      </c>
      <c r="I63" s="17" t="s">
        <v>24</v>
      </c>
      <c r="J63" s="17" t="s">
        <v>44</v>
      </c>
      <c r="K63" s="25" t="s">
        <v>45</v>
      </c>
    </row>
    <row r="64" spans="1:11" x14ac:dyDescent="0.25">
      <c r="A64" s="23" t="s">
        <v>136</v>
      </c>
      <c r="B64" s="24">
        <v>45746</v>
      </c>
      <c r="C64" s="17" t="s">
        <v>47</v>
      </c>
      <c r="D64" s="17" t="s">
        <v>22</v>
      </c>
      <c r="E64" s="17">
        <v>500</v>
      </c>
      <c r="F64" s="17">
        <v>5</v>
      </c>
      <c r="G64" s="17">
        <v>2500</v>
      </c>
      <c r="H64" s="17" t="s">
        <v>15</v>
      </c>
      <c r="I64" s="17" t="s">
        <v>49</v>
      </c>
      <c r="J64" s="17" t="s">
        <v>65</v>
      </c>
      <c r="K64" s="25" t="s">
        <v>45</v>
      </c>
    </row>
    <row r="65" spans="1:11" x14ac:dyDescent="0.25">
      <c r="A65" s="23" t="s">
        <v>138</v>
      </c>
      <c r="B65" s="24">
        <v>45701</v>
      </c>
      <c r="C65" s="17" t="s">
        <v>74</v>
      </c>
      <c r="D65" s="17" t="s">
        <v>68</v>
      </c>
      <c r="E65" s="17">
        <v>1200</v>
      </c>
      <c r="F65" s="17">
        <v>4</v>
      </c>
      <c r="G65" s="17">
        <v>4800</v>
      </c>
      <c r="H65" s="17" t="s">
        <v>23</v>
      </c>
      <c r="I65" s="17" t="s">
        <v>29</v>
      </c>
      <c r="J65" s="17" t="s">
        <v>44</v>
      </c>
      <c r="K65" s="25" t="s">
        <v>25</v>
      </c>
    </row>
    <row r="66" spans="1:11" x14ac:dyDescent="0.25">
      <c r="A66" s="23" t="s">
        <v>140</v>
      </c>
      <c r="B66" s="24">
        <v>45732</v>
      </c>
      <c r="C66" s="17" t="s">
        <v>55</v>
      </c>
      <c r="D66" s="17" t="s">
        <v>56</v>
      </c>
      <c r="E66" s="17">
        <v>15</v>
      </c>
      <c r="F66" s="17">
        <v>3</v>
      </c>
      <c r="G66" s="17">
        <v>45</v>
      </c>
      <c r="H66" s="17" t="s">
        <v>15</v>
      </c>
      <c r="I66" s="17" t="s">
        <v>24</v>
      </c>
      <c r="J66" s="17" t="s">
        <v>30</v>
      </c>
      <c r="K66" s="25" t="s">
        <v>25</v>
      </c>
    </row>
    <row r="67" spans="1:11" x14ac:dyDescent="0.25">
      <c r="A67" s="23" t="s">
        <v>142</v>
      </c>
      <c r="B67" s="24">
        <v>45730</v>
      </c>
      <c r="C67" s="17" t="s">
        <v>37</v>
      </c>
      <c r="D67" s="17" t="s">
        <v>22</v>
      </c>
      <c r="E67" s="17">
        <v>150</v>
      </c>
      <c r="F67" s="17">
        <v>2</v>
      </c>
      <c r="G67" s="17">
        <v>300</v>
      </c>
      <c r="H67" s="17" t="s">
        <v>61</v>
      </c>
      <c r="I67" s="17" t="s">
        <v>29</v>
      </c>
      <c r="J67" s="17" t="s">
        <v>44</v>
      </c>
      <c r="K67" s="25" t="s">
        <v>25</v>
      </c>
    </row>
    <row r="68" spans="1:11" x14ac:dyDescent="0.25">
      <c r="A68" s="23" t="s">
        <v>143</v>
      </c>
      <c r="B68" s="24">
        <v>45747</v>
      </c>
      <c r="C68" s="17" t="s">
        <v>21</v>
      </c>
      <c r="D68" s="17" t="s">
        <v>22</v>
      </c>
      <c r="E68" s="17">
        <v>100</v>
      </c>
      <c r="F68" s="17">
        <v>3</v>
      </c>
      <c r="G68" s="17">
        <v>300</v>
      </c>
      <c r="H68" s="17" t="s">
        <v>82</v>
      </c>
      <c r="I68" s="17" t="s">
        <v>16</v>
      </c>
      <c r="J68" s="17" t="s">
        <v>17</v>
      </c>
      <c r="K68" s="25" t="s">
        <v>25</v>
      </c>
    </row>
    <row r="69" spans="1:11" x14ac:dyDescent="0.25">
      <c r="A69" s="23" t="s">
        <v>145</v>
      </c>
      <c r="B69" s="24">
        <v>45711</v>
      </c>
      <c r="C69" s="17" t="s">
        <v>21</v>
      </c>
      <c r="D69" s="17" t="s">
        <v>22</v>
      </c>
      <c r="E69" s="17">
        <v>100</v>
      </c>
      <c r="F69" s="17">
        <v>1</v>
      </c>
      <c r="G69" s="17">
        <v>100</v>
      </c>
      <c r="H69" s="17" t="s">
        <v>57</v>
      </c>
      <c r="I69" s="17" t="s">
        <v>43</v>
      </c>
      <c r="J69" s="17" t="s">
        <v>17</v>
      </c>
      <c r="K69" s="25" t="s">
        <v>18</v>
      </c>
    </row>
    <row r="70" spans="1:11" x14ac:dyDescent="0.25">
      <c r="A70" s="23" t="s">
        <v>146</v>
      </c>
      <c r="B70" s="24">
        <v>45713</v>
      </c>
      <c r="C70" s="17" t="s">
        <v>74</v>
      </c>
      <c r="D70" s="17" t="s">
        <v>68</v>
      </c>
      <c r="E70" s="17">
        <v>1200</v>
      </c>
      <c r="F70" s="17">
        <v>4</v>
      </c>
      <c r="G70" s="17">
        <v>4800</v>
      </c>
      <c r="H70" s="17" t="s">
        <v>57</v>
      </c>
      <c r="I70" s="17" t="s">
        <v>51</v>
      </c>
      <c r="J70" s="17" t="s">
        <v>65</v>
      </c>
      <c r="K70" s="25" t="s">
        <v>25</v>
      </c>
    </row>
    <row r="71" spans="1:11" x14ac:dyDescent="0.25">
      <c r="A71" s="23" t="s">
        <v>148</v>
      </c>
      <c r="B71" s="24">
        <v>45726</v>
      </c>
      <c r="C71" s="17" t="s">
        <v>55</v>
      </c>
      <c r="D71" s="17" t="s">
        <v>56</v>
      </c>
      <c r="E71" s="17">
        <v>15</v>
      </c>
      <c r="F71" s="17">
        <v>1</v>
      </c>
      <c r="G71" s="17">
        <v>15</v>
      </c>
      <c r="H71" s="17" t="s">
        <v>23</v>
      </c>
      <c r="I71" s="17" t="s">
        <v>51</v>
      </c>
      <c r="J71" s="17" t="s">
        <v>35</v>
      </c>
      <c r="K71" s="25" t="s">
        <v>45</v>
      </c>
    </row>
    <row r="72" spans="1:11" x14ac:dyDescent="0.25">
      <c r="A72" s="23" t="s">
        <v>149</v>
      </c>
      <c r="B72" s="24">
        <v>45732</v>
      </c>
      <c r="C72" s="17" t="s">
        <v>37</v>
      </c>
      <c r="D72" s="17" t="s">
        <v>22</v>
      </c>
      <c r="E72" s="17">
        <v>150</v>
      </c>
      <c r="F72" s="17">
        <v>5</v>
      </c>
      <c r="G72" s="17">
        <v>750</v>
      </c>
      <c r="H72" s="17" t="s">
        <v>28</v>
      </c>
      <c r="I72" s="17" t="s">
        <v>29</v>
      </c>
      <c r="J72" s="17" t="s">
        <v>35</v>
      </c>
      <c r="K72" s="25" t="s">
        <v>25</v>
      </c>
    </row>
    <row r="73" spans="1:11" x14ac:dyDescent="0.25">
      <c r="A73" s="23" t="s">
        <v>150</v>
      </c>
      <c r="B73" s="24">
        <v>45723</v>
      </c>
      <c r="C73" s="17" t="s">
        <v>63</v>
      </c>
      <c r="D73" s="17" t="s">
        <v>22</v>
      </c>
      <c r="E73" s="17">
        <v>800</v>
      </c>
      <c r="F73" s="17">
        <v>3</v>
      </c>
      <c r="G73" s="17">
        <v>2400</v>
      </c>
      <c r="H73" s="17" t="s">
        <v>64</v>
      </c>
      <c r="I73" s="17" t="s">
        <v>43</v>
      </c>
      <c r="J73" s="17" t="s">
        <v>35</v>
      </c>
      <c r="K73" s="25" t="s">
        <v>25</v>
      </c>
    </row>
    <row r="74" spans="1:11" x14ac:dyDescent="0.25">
      <c r="A74" s="23" t="s">
        <v>151</v>
      </c>
      <c r="B74" s="24">
        <v>45708</v>
      </c>
      <c r="C74" s="17" t="s">
        <v>47</v>
      </c>
      <c r="D74" s="17" t="s">
        <v>22</v>
      </c>
      <c r="E74" s="17">
        <v>500</v>
      </c>
      <c r="F74" s="17">
        <v>5</v>
      </c>
      <c r="G74" s="17">
        <v>2500</v>
      </c>
      <c r="H74" s="17" t="s">
        <v>23</v>
      </c>
      <c r="I74" s="17" t="s">
        <v>49</v>
      </c>
      <c r="J74" s="17" t="s">
        <v>35</v>
      </c>
      <c r="K74" s="25" t="s">
        <v>18</v>
      </c>
    </row>
    <row r="75" spans="1:11" x14ac:dyDescent="0.25">
      <c r="A75" s="23" t="s">
        <v>152</v>
      </c>
      <c r="B75" s="24">
        <v>45741</v>
      </c>
      <c r="C75" s="17" t="s">
        <v>74</v>
      </c>
      <c r="D75" s="17" t="s">
        <v>68</v>
      </c>
      <c r="E75" s="17">
        <v>1200</v>
      </c>
      <c r="F75" s="17">
        <v>4</v>
      </c>
      <c r="G75" s="17">
        <v>4800</v>
      </c>
      <c r="H75" s="17" t="s">
        <v>93</v>
      </c>
      <c r="I75" s="17" t="s">
        <v>34</v>
      </c>
      <c r="J75" s="17" t="s">
        <v>65</v>
      </c>
      <c r="K75" s="25" t="s">
        <v>18</v>
      </c>
    </row>
    <row r="76" spans="1:11" x14ac:dyDescent="0.25">
      <c r="A76" s="23" t="s">
        <v>154</v>
      </c>
      <c r="B76" s="24">
        <v>45714</v>
      </c>
      <c r="C76" s="17" t="s">
        <v>21</v>
      </c>
      <c r="D76" s="17" t="s">
        <v>22</v>
      </c>
      <c r="E76" s="17">
        <v>100</v>
      </c>
      <c r="F76" s="17">
        <v>2</v>
      </c>
      <c r="G76" s="17">
        <v>200</v>
      </c>
      <c r="H76" s="17" t="s">
        <v>64</v>
      </c>
      <c r="I76" s="17" t="s">
        <v>51</v>
      </c>
      <c r="J76" s="17" t="s">
        <v>44</v>
      </c>
      <c r="K76" s="25" t="s">
        <v>25</v>
      </c>
    </row>
    <row r="77" spans="1:11" x14ac:dyDescent="0.25">
      <c r="A77" s="23" t="s">
        <v>155</v>
      </c>
      <c r="B77" s="24">
        <v>45712</v>
      </c>
      <c r="C77" s="17" t="s">
        <v>67</v>
      </c>
      <c r="D77" s="17" t="s">
        <v>68</v>
      </c>
      <c r="E77" s="17">
        <v>600</v>
      </c>
      <c r="F77" s="17">
        <v>1</v>
      </c>
      <c r="G77" s="17">
        <v>600</v>
      </c>
      <c r="H77" s="17" t="s">
        <v>93</v>
      </c>
      <c r="I77" s="17" t="s">
        <v>34</v>
      </c>
      <c r="J77" s="17" t="s">
        <v>30</v>
      </c>
      <c r="K77" s="25" t="s">
        <v>45</v>
      </c>
    </row>
    <row r="78" spans="1:11" x14ac:dyDescent="0.25">
      <c r="A78" s="23" t="s">
        <v>156</v>
      </c>
      <c r="B78" s="24">
        <v>45736</v>
      </c>
      <c r="C78" s="17" t="s">
        <v>21</v>
      </c>
      <c r="D78" s="17" t="s">
        <v>22</v>
      </c>
      <c r="E78" s="17">
        <v>100</v>
      </c>
      <c r="F78" s="17">
        <v>2</v>
      </c>
      <c r="G78" s="17">
        <v>200</v>
      </c>
      <c r="H78" s="17" t="s">
        <v>64</v>
      </c>
      <c r="I78" s="17" t="s">
        <v>43</v>
      </c>
      <c r="J78" s="17" t="s">
        <v>35</v>
      </c>
      <c r="K78" s="25" t="s">
        <v>45</v>
      </c>
    </row>
    <row r="79" spans="1:11" x14ac:dyDescent="0.25">
      <c r="A79" s="23" t="s">
        <v>157</v>
      </c>
      <c r="B79" s="24">
        <v>45734</v>
      </c>
      <c r="C79" s="17" t="s">
        <v>37</v>
      </c>
      <c r="D79" s="17" t="s">
        <v>22</v>
      </c>
      <c r="E79" s="17">
        <v>150</v>
      </c>
      <c r="F79" s="17">
        <v>2</v>
      </c>
      <c r="G79" s="17">
        <v>300</v>
      </c>
      <c r="H79" s="17" t="s">
        <v>15</v>
      </c>
      <c r="I79" s="17" t="s">
        <v>77</v>
      </c>
      <c r="J79" s="17" t="s">
        <v>65</v>
      </c>
      <c r="K79" s="25" t="s">
        <v>18</v>
      </c>
    </row>
    <row r="80" spans="1:11" x14ac:dyDescent="0.25">
      <c r="A80" s="23" t="s">
        <v>158</v>
      </c>
      <c r="B80" s="24">
        <v>45725</v>
      </c>
      <c r="C80" s="17" t="s">
        <v>13</v>
      </c>
      <c r="D80" s="17" t="s">
        <v>14</v>
      </c>
      <c r="E80" s="17">
        <v>60</v>
      </c>
      <c r="F80" s="17">
        <v>2</v>
      </c>
      <c r="G80" s="17">
        <v>120</v>
      </c>
      <c r="H80" s="17" t="s">
        <v>23</v>
      </c>
      <c r="I80" s="17" t="s">
        <v>29</v>
      </c>
      <c r="J80" s="17" t="s">
        <v>65</v>
      </c>
      <c r="K80" s="25" t="s">
        <v>18</v>
      </c>
    </row>
    <row r="81" spans="1:11" x14ac:dyDescent="0.25">
      <c r="A81" s="23" t="s">
        <v>159</v>
      </c>
      <c r="B81" s="24">
        <v>45711</v>
      </c>
      <c r="C81" s="17" t="s">
        <v>13</v>
      </c>
      <c r="D81" s="17" t="s">
        <v>14</v>
      </c>
      <c r="E81" s="17">
        <v>60</v>
      </c>
      <c r="F81" s="17">
        <v>4</v>
      </c>
      <c r="G81" s="17">
        <v>240</v>
      </c>
      <c r="H81" s="17" t="s">
        <v>48</v>
      </c>
      <c r="I81" s="17" t="s">
        <v>24</v>
      </c>
      <c r="J81" s="17" t="s">
        <v>17</v>
      </c>
      <c r="K81" s="25" t="s">
        <v>25</v>
      </c>
    </row>
    <row r="82" spans="1:11" x14ac:dyDescent="0.25">
      <c r="A82" s="23" t="s">
        <v>160</v>
      </c>
      <c r="B82" s="24">
        <v>45714</v>
      </c>
      <c r="C82" s="17" t="s">
        <v>21</v>
      </c>
      <c r="D82" s="17" t="s">
        <v>22</v>
      </c>
      <c r="E82" s="17">
        <v>100</v>
      </c>
      <c r="F82" s="17">
        <v>3</v>
      </c>
      <c r="G82" s="17">
        <v>300</v>
      </c>
      <c r="H82" s="17" t="s">
        <v>61</v>
      </c>
      <c r="I82" s="17" t="s">
        <v>94</v>
      </c>
      <c r="J82" s="17" t="s">
        <v>44</v>
      </c>
      <c r="K82" s="25" t="s">
        <v>18</v>
      </c>
    </row>
    <row r="83" spans="1:11" x14ac:dyDescent="0.25">
      <c r="A83" s="23" t="s">
        <v>161</v>
      </c>
      <c r="B83" s="24">
        <v>45712</v>
      </c>
      <c r="C83" s="17" t="s">
        <v>47</v>
      </c>
      <c r="D83" s="17" t="s">
        <v>22</v>
      </c>
      <c r="E83" s="17">
        <v>500</v>
      </c>
      <c r="F83" s="17">
        <v>3</v>
      </c>
      <c r="G83" s="17">
        <v>1500</v>
      </c>
      <c r="H83" s="17" t="s">
        <v>93</v>
      </c>
      <c r="I83" s="17" t="s">
        <v>71</v>
      </c>
      <c r="J83" s="17" t="s">
        <v>17</v>
      </c>
      <c r="K83" s="25" t="s">
        <v>18</v>
      </c>
    </row>
    <row r="84" spans="1:11" x14ac:dyDescent="0.25">
      <c r="A84" s="23" t="s">
        <v>162</v>
      </c>
      <c r="B84" s="24">
        <v>45716</v>
      </c>
      <c r="C84" s="17" t="s">
        <v>67</v>
      </c>
      <c r="D84" s="17" t="s">
        <v>68</v>
      </c>
      <c r="E84" s="17">
        <v>600</v>
      </c>
      <c r="F84" s="17">
        <v>4</v>
      </c>
      <c r="G84" s="17">
        <v>2400</v>
      </c>
      <c r="H84" s="17" t="s">
        <v>15</v>
      </c>
      <c r="I84" s="17" t="s">
        <v>43</v>
      </c>
      <c r="J84" s="17" t="s">
        <v>65</v>
      </c>
      <c r="K84" s="25" t="s">
        <v>18</v>
      </c>
    </row>
    <row r="85" spans="1:11" x14ac:dyDescent="0.25">
      <c r="A85" s="23" t="s">
        <v>164</v>
      </c>
      <c r="B85" s="24">
        <v>45702</v>
      </c>
      <c r="C85" s="17" t="s">
        <v>39</v>
      </c>
      <c r="D85" s="17" t="s">
        <v>40</v>
      </c>
      <c r="E85" s="17">
        <v>20</v>
      </c>
      <c r="F85" s="17">
        <v>5</v>
      </c>
      <c r="G85" s="17">
        <v>100</v>
      </c>
      <c r="H85" s="17" t="s">
        <v>33</v>
      </c>
      <c r="I85" s="17" t="s">
        <v>51</v>
      </c>
      <c r="J85" s="17" t="s">
        <v>44</v>
      </c>
      <c r="K85" s="25" t="s">
        <v>45</v>
      </c>
    </row>
    <row r="86" spans="1:11" x14ac:dyDescent="0.25">
      <c r="A86" s="23" t="s">
        <v>165</v>
      </c>
      <c r="B86" s="24">
        <v>45694</v>
      </c>
      <c r="C86" s="17" t="s">
        <v>47</v>
      </c>
      <c r="D86" s="17" t="s">
        <v>22</v>
      </c>
      <c r="E86" s="17">
        <v>500</v>
      </c>
      <c r="F86" s="17">
        <v>5</v>
      </c>
      <c r="G86" s="17">
        <v>2500</v>
      </c>
      <c r="H86" s="17" t="s">
        <v>61</v>
      </c>
      <c r="I86" s="17" t="s">
        <v>43</v>
      </c>
      <c r="J86" s="17" t="s">
        <v>44</v>
      </c>
      <c r="K86" s="25" t="s">
        <v>45</v>
      </c>
    </row>
    <row r="87" spans="1:11" x14ac:dyDescent="0.25">
      <c r="A87" s="23" t="s">
        <v>166</v>
      </c>
      <c r="B87" s="24">
        <v>45713</v>
      </c>
      <c r="C87" s="17" t="s">
        <v>37</v>
      </c>
      <c r="D87" s="17" t="s">
        <v>22</v>
      </c>
      <c r="E87" s="17">
        <v>150</v>
      </c>
      <c r="F87" s="17">
        <v>5</v>
      </c>
      <c r="G87" s="17">
        <v>750</v>
      </c>
      <c r="H87" s="17" t="s">
        <v>93</v>
      </c>
      <c r="I87" s="17" t="s">
        <v>34</v>
      </c>
      <c r="J87" s="17" t="s">
        <v>44</v>
      </c>
      <c r="K87" s="25" t="s">
        <v>18</v>
      </c>
    </row>
    <row r="88" spans="1:11" x14ac:dyDescent="0.25">
      <c r="A88" s="23" t="s">
        <v>167</v>
      </c>
      <c r="B88" s="24">
        <v>45729</v>
      </c>
      <c r="C88" s="17" t="s">
        <v>13</v>
      </c>
      <c r="D88" s="17" t="s">
        <v>14</v>
      </c>
      <c r="E88" s="17">
        <v>60</v>
      </c>
      <c r="F88" s="17">
        <v>5</v>
      </c>
      <c r="G88" s="17">
        <v>300</v>
      </c>
      <c r="H88" s="17" t="s">
        <v>15</v>
      </c>
      <c r="I88" s="17" t="s">
        <v>49</v>
      </c>
      <c r="J88" s="17" t="s">
        <v>17</v>
      </c>
      <c r="K88" s="25" t="s">
        <v>45</v>
      </c>
    </row>
    <row r="89" spans="1:11" x14ac:dyDescent="0.25">
      <c r="A89" s="23" t="s">
        <v>168</v>
      </c>
      <c r="B89" s="24">
        <v>45694</v>
      </c>
      <c r="C89" s="17" t="s">
        <v>74</v>
      </c>
      <c r="D89" s="17" t="s">
        <v>68</v>
      </c>
      <c r="E89" s="17">
        <v>1200</v>
      </c>
      <c r="F89" s="17">
        <v>2</v>
      </c>
      <c r="G89" s="17">
        <v>2400</v>
      </c>
      <c r="H89" s="17" t="s">
        <v>82</v>
      </c>
      <c r="I89" s="17" t="s">
        <v>71</v>
      </c>
      <c r="J89" s="17" t="s">
        <v>17</v>
      </c>
      <c r="K89" s="25" t="s">
        <v>25</v>
      </c>
    </row>
    <row r="90" spans="1:11" x14ac:dyDescent="0.25">
      <c r="A90" s="23" t="s">
        <v>169</v>
      </c>
      <c r="B90" s="24">
        <v>45742</v>
      </c>
      <c r="C90" s="17" t="s">
        <v>13</v>
      </c>
      <c r="D90" s="17" t="s">
        <v>14</v>
      </c>
      <c r="E90" s="17">
        <v>60</v>
      </c>
      <c r="F90" s="17">
        <v>5</v>
      </c>
      <c r="G90" s="17">
        <v>300</v>
      </c>
      <c r="H90" s="17" t="s">
        <v>15</v>
      </c>
      <c r="I90" s="17" t="s">
        <v>77</v>
      </c>
      <c r="J90" s="17" t="s">
        <v>35</v>
      </c>
      <c r="K90" s="25" t="s">
        <v>18</v>
      </c>
    </row>
    <row r="91" spans="1:11" x14ac:dyDescent="0.25">
      <c r="A91" s="23" t="s">
        <v>170</v>
      </c>
      <c r="B91" s="24">
        <v>45740</v>
      </c>
      <c r="C91" s="17" t="s">
        <v>37</v>
      </c>
      <c r="D91" s="17" t="s">
        <v>22</v>
      </c>
      <c r="E91" s="17">
        <v>150</v>
      </c>
      <c r="F91" s="17">
        <v>5</v>
      </c>
      <c r="G91" s="17">
        <v>750</v>
      </c>
      <c r="H91" s="17" t="s">
        <v>23</v>
      </c>
      <c r="I91" s="17" t="s">
        <v>43</v>
      </c>
      <c r="J91" s="17" t="s">
        <v>30</v>
      </c>
      <c r="K91" s="25" t="s">
        <v>45</v>
      </c>
    </row>
    <row r="92" spans="1:11" x14ac:dyDescent="0.25">
      <c r="A92" s="23" t="s">
        <v>171</v>
      </c>
      <c r="B92" s="24">
        <v>45691</v>
      </c>
      <c r="C92" s="17" t="s">
        <v>63</v>
      </c>
      <c r="D92" s="17" t="s">
        <v>22</v>
      </c>
      <c r="E92" s="17">
        <v>800</v>
      </c>
      <c r="F92" s="17">
        <v>4</v>
      </c>
      <c r="G92" s="17">
        <v>3200</v>
      </c>
      <c r="H92" s="17" t="s">
        <v>64</v>
      </c>
      <c r="I92" s="17" t="s">
        <v>43</v>
      </c>
      <c r="J92" s="17" t="s">
        <v>65</v>
      </c>
      <c r="K92" s="25" t="s">
        <v>25</v>
      </c>
    </row>
    <row r="93" spans="1:11" x14ac:dyDescent="0.25">
      <c r="A93" s="23" t="s">
        <v>172</v>
      </c>
      <c r="B93" s="24">
        <v>45731</v>
      </c>
      <c r="C93" s="17" t="s">
        <v>47</v>
      </c>
      <c r="D93" s="17" t="s">
        <v>22</v>
      </c>
      <c r="E93" s="17">
        <v>500</v>
      </c>
      <c r="F93" s="17">
        <v>2</v>
      </c>
      <c r="G93" s="17">
        <v>1000</v>
      </c>
      <c r="H93" s="17" t="s">
        <v>33</v>
      </c>
      <c r="I93" s="17" t="s">
        <v>51</v>
      </c>
      <c r="J93" s="17" t="s">
        <v>44</v>
      </c>
      <c r="K93" s="25" t="s">
        <v>18</v>
      </c>
    </row>
    <row r="94" spans="1:11" x14ac:dyDescent="0.25">
      <c r="A94" s="23" t="s">
        <v>173</v>
      </c>
      <c r="B94" s="24">
        <v>45722</v>
      </c>
      <c r="C94" s="17" t="s">
        <v>74</v>
      </c>
      <c r="D94" s="17" t="s">
        <v>68</v>
      </c>
      <c r="E94" s="17">
        <v>1200</v>
      </c>
      <c r="F94" s="17">
        <v>5</v>
      </c>
      <c r="G94" s="17">
        <v>6000</v>
      </c>
      <c r="H94" s="17" t="s">
        <v>57</v>
      </c>
      <c r="I94" s="17" t="s">
        <v>29</v>
      </c>
      <c r="J94" s="17" t="s">
        <v>44</v>
      </c>
      <c r="K94" s="25" t="s">
        <v>18</v>
      </c>
    </row>
    <row r="95" spans="1:11" x14ac:dyDescent="0.25">
      <c r="A95" s="23" t="s">
        <v>174</v>
      </c>
      <c r="B95" s="24">
        <v>45741</v>
      </c>
      <c r="C95" s="17" t="s">
        <v>60</v>
      </c>
      <c r="D95" s="17" t="s">
        <v>40</v>
      </c>
      <c r="E95" s="17">
        <v>40</v>
      </c>
      <c r="F95" s="17">
        <v>5</v>
      </c>
      <c r="G95" s="17">
        <v>200</v>
      </c>
      <c r="H95" s="17" t="s">
        <v>64</v>
      </c>
      <c r="I95" s="17" t="s">
        <v>71</v>
      </c>
      <c r="J95" s="17" t="s">
        <v>35</v>
      </c>
      <c r="K95" s="25" t="s">
        <v>18</v>
      </c>
    </row>
    <row r="96" spans="1:11" x14ac:dyDescent="0.25">
      <c r="A96" s="23" t="s">
        <v>175</v>
      </c>
      <c r="B96" s="24">
        <v>45705</v>
      </c>
      <c r="C96" s="17" t="s">
        <v>37</v>
      </c>
      <c r="D96" s="17" t="s">
        <v>22</v>
      </c>
      <c r="E96" s="17">
        <v>150</v>
      </c>
      <c r="F96" s="17">
        <v>4</v>
      </c>
      <c r="G96" s="17">
        <v>600</v>
      </c>
      <c r="H96" s="17" t="s">
        <v>82</v>
      </c>
      <c r="I96" s="17" t="s">
        <v>16</v>
      </c>
      <c r="J96" s="17" t="s">
        <v>17</v>
      </c>
      <c r="K96" s="25" t="s">
        <v>18</v>
      </c>
    </row>
    <row r="97" spans="1:11" x14ac:dyDescent="0.25">
      <c r="A97" s="23" t="s">
        <v>176</v>
      </c>
      <c r="B97" s="24">
        <v>45746</v>
      </c>
      <c r="C97" s="17" t="s">
        <v>37</v>
      </c>
      <c r="D97" s="17" t="s">
        <v>22</v>
      </c>
      <c r="E97" s="17">
        <v>150</v>
      </c>
      <c r="F97" s="17">
        <v>3</v>
      </c>
      <c r="G97" s="17">
        <v>450</v>
      </c>
      <c r="H97" s="17" t="s">
        <v>93</v>
      </c>
      <c r="I97" s="17" t="s">
        <v>16</v>
      </c>
      <c r="J97" s="17" t="s">
        <v>30</v>
      </c>
      <c r="K97" s="25" t="s">
        <v>45</v>
      </c>
    </row>
    <row r="98" spans="1:11" x14ac:dyDescent="0.25">
      <c r="A98" s="23" t="s">
        <v>177</v>
      </c>
      <c r="B98" s="24">
        <v>45741</v>
      </c>
      <c r="C98" s="17" t="s">
        <v>55</v>
      </c>
      <c r="D98" s="17" t="s">
        <v>56</v>
      </c>
      <c r="E98" s="17">
        <v>15</v>
      </c>
      <c r="F98" s="17">
        <v>5</v>
      </c>
      <c r="G98" s="17">
        <v>75</v>
      </c>
      <c r="H98" s="17" t="s">
        <v>33</v>
      </c>
      <c r="I98" s="17" t="s">
        <v>94</v>
      </c>
      <c r="J98" s="17" t="s">
        <v>30</v>
      </c>
      <c r="K98" s="25" t="s">
        <v>25</v>
      </c>
    </row>
    <row r="99" spans="1:11" x14ac:dyDescent="0.25">
      <c r="A99" s="23" t="s">
        <v>178</v>
      </c>
      <c r="B99" s="24">
        <v>45702</v>
      </c>
      <c r="C99" s="17" t="s">
        <v>37</v>
      </c>
      <c r="D99" s="17" t="s">
        <v>22</v>
      </c>
      <c r="E99" s="17">
        <v>150</v>
      </c>
      <c r="F99" s="17">
        <v>2</v>
      </c>
      <c r="G99" s="17">
        <v>300</v>
      </c>
      <c r="H99" s="17" t="s">
        <v>82</v>
      </c>
      <c r="I99" s="17" t="s">
        <v>49</v>
      </c>
      <c r="J99" s="17" t="s">
        <v>44</v>
      </c>
      <c r="K99" s="25" t="s">
        <v>25</v>
      </c>
    </row>
    <row r="100" spans="1:11" x14ac:dyDescent="0.25">
      <c r="A100" s="23" t="s">
        <v>179</v>
      </c>
      <c r="B100" s="24">
        <v>45706</v>
      </c>
      <c r="C100" s="17" t="s">
        <v>67</v>
      </c>
      <c r="D100" s="17" t="s">
        <v>68</v>
      </c>
      <c r="E100" s="17">
        <v>600</v>
      </c>
      <c r="F100" s="17">
        <v>5</v>
      </c>
      <c r="G100" s="17">
        <v>3000</v>
      </c>
      <c r="H100" s="17" t="s">
        <v>61</v>
      </c>
      <c r="I100" s="17" t="s">
        <v>71</v>
      </c>
      <c r="J100" s="17" t="s">
        <v>17</v>
      </c>
      <c r="K100" s="25" t="s">
        <v>45</v>
      </c>
    </row>
    <row r="101" spans="1:11" x14ac:dyDescent="0.25">
      <c r="A101" s="23" t="s">
        <v>180</v>
      </c>
      <c r="B101" s="24">
        <v>45701</v>
      </c>
      <c r="C101" s="17" t="s">
        <v>13</v>
      </c>
      <c r="D101" s="17" t="s">
        <v>14</v>
      </c>
      <c r="E101" s="17">
        <v>60</v>
      </c>
      <c r="F101" s="17">
        <v>1</v>
      </c>
      <c r="G101" s="17">
        <v>60</v>
      </c>
      <c r="H101" s="17" t="s">
        <v>93</v>
      </c>
      <c r="I101" s="17" t="s">
        <v>43</v>
      </c>
      <c r="J101" s="17" t="s">
        <v>65</v>
      </c>
      <c r="K101" s="25" t="s">
        <v>18</v>
      </c>
    </row>
    <row r="102" spans="1:11" x14ac:dyDescent="0.25">
      <c r="A102" s="23" t="s">
        <v>181</v>
      </c>
      <c r="B102" s="24">
        <v>45708</v>
      </c>
      <c r="C102" s="17" t="s">
        <v>55</v>
      </c>
      <c r="D102" s="17" t="s">
        <v>56</v>
      </c>
      <c r="E102" s="17">
        <v>15</v>
      </c>
      <c r="F102" s="17">
        <v>5</v>
      </c>
      <c r="G102" s="17">
        <v>75</v>
      </c>
      <c r="H102" s="17" t="s">
        <v>28</v>
      </c>
      <c r="I102" s="17" t="s">
        <v>29</v>
      </c>
      <c r="J102" s="17" t="s">
        <v>44</v>
      </c>
      <c r="K102" s="25" t="s">
        <v>25</v>
      </c>
    </row>
    <row r="103" spans="1:11" x14ac:dyDescent="0.25">
      <c r="A103" s="23" t="s">
        <v>182</v>
      </c>
      <c r="B103" s="24">
        <v>45716</v>
      </c>
      <c r="C103" s="17" t="s">
        <v>47</v>
      </c>
      <c r="D103" s="17" t="s">
        <v>22</v>
      </c>
      <c r="E103" s="17">
        <v>500</v>
      </c>
      <c r="F103" s="17">
        <v>2</v>
      </c>
      <c r="G103" s="17">
        <v>1000</v>
      </c>
      <c r="H103" s="17" t="s">
        <v>57</v>
      </c>
      <c r="I103" s="17" t="s">
        <v>51</v>
      </c>
      <c r="J103" s="17" t="s">
        <v>44</v>
      </c>
      <c r="K103" s="25" t="s">
        <v>25</v>
      </c>
    </row>
    <row r="104" spans="1:11" x14ac:dyDescent="0.25">
      <c r="A104" s="23" t="s">
        <v>183</v>
      </c>
      <c r="B104" s="24">
        <v>45730</v>
      </c>
      <c r="C104" s="17" t="s">
        <v>39</v>
      </c>
      <c r="D104" s="17" t="s">
        <v>40</v>
      </c>
      <c r="E104" s="17">
        <v>20</v>
      </c>
      <c r="F104" s="17">
        <v>2</v>
      </c>
      <c r="G104" s="17">
        <v>40</v>
      </c>
      <c r="H104" s="17" t="s">
        <v>61</v>
      </c>
      <c r="I104" s="17" t="s">
        <v>94</v>
      </c>
      <c r="J104" s="17" t="s">
        <v>44</v>
      </c>
      <c r="K104" s="25" t="s">
        <v>25</v>
      </c>
    </row>
    <row r="105" spans="1:11" x14ac:dyDescent="0.25">
      <c r="A105" s="23" t="s">
        <v>184</v>
      </c>
      <c r="B105" s="24">
        <v>45710</v>
      </c>
      <c r="C105" s="17" t="s">
        <v>60</v>
      </c>
      <c r="D105" s="17" t="s">
        <v>40</v>
      </c>
      <c r="E105" s="17">
        <v>40</v>
      </c>
      <c r="F105" s="17">
        <v>5</v>
      </c>
      <c r="G105" s="17">
        <v>200</v>
      </c>
      <c r="H105" s="17" t="s">
        <v>93</v>
      </c>
      <c r="I105" s="17" t="s">
        <v>34</v>
      </c>
      <c r="J105" s="17" t="s">
        <v>17</v>
      </c>
      <c r="K105" s="25" t="s">
        <v>25</v>
      </c>
    </row>
    <row r="106" spans="1:11" x14ac:dyDescent="0.25">
      <c r="A106" s="23" t="s">
        <v>186</v>
      </c>
      <c r="B106" s="24">
        <v>45732</v>
      </c>
      <c r="C106" s="17" t="s">
        <v>60</v>
      </c>
      <c r="D106" s="17" t="s">
        <v>40</v>
      </c>
      <c r="E106" s="17">
        <v>40</v>
      </c>
      <c r="F106" s="17">
        <v>1</v>
      </c>
      <c r="G106" s="17">
        <v>40</v>
      </c>
      <c r="H106" s="17" t="s">
        <v>93</v>
      </c>
      <c r="I106" s="17" t="s">
        <v>51</v>
      </c>
      <c r="J106" s="17" t="s">
        <v>17</v>
      </c>
      <c r="K106" s="25" t="s">
        <v>25</v>
      </c>
    </row>
    <row r="107" spans="1:11" x14ac:dyDescent="0.25">
      <c r="A107" s="23" t="s">
        <v>187</v>
      </c>
      <c r="B107" s="24">
        <v>45731</v>
      </c>
      <c r="C107" s="17" t="s">
        <v>39</v>
      </c>
      <c r="D107" s="17" t="s">
        <v>40</v>
      </c>
      <c r="E107" s="17">
        <v>20</v>
      </c>
      <c r="F107" s="17">
        <v>3</v>
      </c>
      <c r="G107" s="17">
        <v>60</v>
      </c>
      <c r="H107" s="17" t="s">
        <v>33</v>
      </c>
      <c r="I107" s="17" t="s">
        <v>94</v>
      </c>
      <c r="J107" s="17" t="s">
        <v>44</v>
      </c>
      <c r="K107" s="25" t="s">
        <v>25</v>
      </c>
    </row>
    <row r="108" spans="1:11" x14ac:dyDescent="0.25">
      <c r="A108" s="23" t="s">
        <v>188</v>
      </c>
      <c r="B108" s="24">
        <v>45735</v>
      </c>
      <c r="C108" s="17" t="s">
        <v>60</v>
      </c>
      <c r="D108" s="17" t="s">
        <v>40</v>
      </c>
      <c r="E108" s="17">
        <v>40</v>
      </c>
      <c r="F108" s="17">
        <v>3</v>
      </c>
      <c r="G108" s="17">
        <v>120</v>
      </c>
      <c r="H108" s="17" t="s">
        <v>33</v>
      </c>
      <c r="I108" s="17" t="s">
        <v>34</v>
      </c>
      <c r="J108" s="17" t="s">
        <v>35</v>
      </c>
      <c r="K108" s="25" t="s">
        <v>18</v>
      </c>
    </row>
    <row r="109" spans="1:11" x14ac:dyDescent="0.25">
      <c r="A109" s="23" t="s">
        <v>189</v>
      </c>
      <c r="B109" s="24">
        <v>45732</v>
      </c>
      <c r="C109" s="17" t="s">
        <v>21</v>
      </c>
      <c r="D109" s="17" t="s">
        <v>22</v>
      </c>
      <c r="E109" s="17">
        <v>100</v>
      </c>
      <c r="F109" s="17">
        <v>2</v>
      </c>
      <c r="G109" s="17">
        <v>200</v>
      </c>
      <c r="H109" s="17" t="s">
        <v>64</v>
      </c>
      <c r="I109" s="17" t="s">
        <v>49</v>
      </c>
      <c r="J109" s="17" t="s">
        <v>44</v>
      </c>
      <c r="K109" s="25" t="s">
        <v>25</v>
      </c>
    </row>
    <row r="110" spans="1:11" x14ac:dyDescent="0.25">
      <c r="A110" s="23" t="s">
        <v>190</v>
      </c>
      <c r="B110" s="24">
        <v>45733</v>
      </c>
      <c r="C110" s="17" t="s">
        <v>60</v>
      </c>
      <c r="D110" s="17" t="s">
        <v>40</v>
      </c>
      <c r="E110" s="17">
        <v>40</v>
      </c>
      <c r="F110" s="17">
        <v>5</v>
      </c>
      <c r="G110" s="17">
        <v>200</v>
      </c>
      <c r="H110" s="17" t="s">
        <v>61</v>
      </c>
      <c r="I110" s="17" t="s">
        <v>16</v>
      </c>
      <c r="J110" s="17" t="s">
        <v>44</v>
      </c>
      <c r="K110" s="25" t="s">
        <v>45</v>
      </c>
    </row>
    <row r="111" spans="1:11" x14ac:dyDescent="0.25">
      <c r="A111" s="23" t="s">
        <v>191</v>
      </c>
      <c r="B111" s="24">
        <v>45706</v>
      </c>
      <c r="C111" s="17" t="s">
        <v>47</v>
      </c>
      <c r="D111" s="17" t="s">
        <v>22</v>
      </c>
      <c r="E111" s="17">
        <v>500</v>
      </c>
      <c r="F111" s="17">
        <v>5</v>
      </c>
      <c r="G111" s="17">
        <v>2500</v>
      </c>
      <c r="H111" s="17" t="s">
        <v>33</v>
      </c>
      <c r="I111" s="17" t="s">
        <v>34</v>
      </c>
      <c r="J111" s="17" t="s">
        <v>30</v>
      </c>
      <c r="K111" s="25" t="s">
        <v>25</v>
      </c>
    </row>
    <row r="112" spans="1:11" x14ac:dyDescent="0.25">
      <c r="A112" s="23" t="s">
        <v>192</v>
      </c>
      <c r="B112" s="24">
        <v>45747</v>
      </c>
      <c r="C112" s="17" t="s">
        <v>63</v>
      </c>
      <c r="D112" s="17" t="s">
        <v>22</v>
      </c>
      <c r="E112" s="17">
        <v>800</v>
      </c>
      <c r="F112" s="17">
        <v>4</v>
      </c>
      <c r="G112" s="17">
        <v>3200</v>
      </c>
      <c r="H112" s="17" t="s">
        <v>15</v>
      </c>
      <c r="I112" s="17" t="s">
        <v>77</v>
      </c>
      <c r="J112" s="17" t="s">
        <v>35</v>
      </c>
      <c r="K112" s="25" t="s">
        <v>45</v>
      </c>
    </row>
    <row r="113" spans="1:11" x14ac:dyDescent="0.25">
      <c r="A113" s="23" t="s">
        <v>193</v>
      </c>
      <c r="B113" s="24">
        <v>45722</v>
      </c>
      <c r="C113" s="17" t="s">
        <v>67</v>
      </c>
      <c r="D113" s="17" t="s">
        <v>68</v>
      </c>
      <c r="E113" s="17">
        <v>600</v>
      </c>
      <c r="F113" s="17">
        <v>2</v>
      </c>
      <c r="G113" s="17">
        <v>1200</v>
      </c>
      <c r="H113" s="17" t="s">
        <v>57</v>
      </c>
      <c r="I113" s="17" t="s">
        <v>34</v>
      </c>
      <c r="J113" s="17" t="s">
        <v>65</v>
      </c>
      <c r="K113" s="25" t="s">
        <v>18</v>
      </c>
    </row>
    <row r="114" spans="1:11" x14ac:dyDescent="0.25">
      <c r="A114" s="23" t="s">
        <v>194</v>
      </c>
      <c r="B114" s="24">
        <v>45735</v>
      </c>
      <c r="C114" s="17" t="s">
        <v>55</v>
      </c>
      <c r="D114" s="17" t="s">
        <v>56</v>
      </c>
      <c r="E114" s="17">
        <v>15</v>
      </c>
      <c r="F114" s="17">
        <v>5</v>
      </c>
      <c r="G114" s="17">
        <v>75</v>
      </c>
      <c r="H114" s="17" t="s">
        <v>57</v>
      </c>
      <c r="I114" s="17" t="s">
        <v>24</v>
      </c>
      <c r="J114" s="17" t="s">
        <v>17</v>
      </c>
      <c r="K114" s="25" t="s">
        <v>25</v>
      </c>
    </row>
    <row r="115" spans="1:11" x14ac:dyDescent="0.25">
      <c r="A115" s="23" t="s">
        <v>195</v>
      </c>
      <c r="B115" s="24">
        <v>45711</v>
      </c>
      <c r="C115" s="17" t="s">
        <v>13</v>
      </c>
      <c r="D115" s="17" t="s">
        <v>14</v>
      </c>
      <c r="E115" s="17">
        <v>60</v>
      </c>
      <c r="F115" s="17">
        <v>1</v>
      </c>
      <c r="G115" s="17">
        <v>60</v>
      </c>
      <c r="H115" s="17" t="s">
        <v>15</v>
      </c>
      <c r="I115" s="17" t="s">
        <v>43</v>
      </c>
      <c r="J115" s="17" t="s">
        <v>35</v>
      </c>
      <c r="K115" s="25" t="s">
        <v>25</v>
      </c>
    </row>
    <row r="116" spans="1:11" x14ac:dyDescent="0.25">
      <c r="A116" s="23" t="s">
        <v>196</v>
      </c>
      <c r="B116" s="24">
        <v>45737</v>
      </c>
      <c r="C116" s="17" t="s">
        <v>13</v>
      </c>
      <c r="D116" s="17" t="s">
        <v>14</v>
      </c>
      <c r="E116" s="17">
        <v>60</v>
      </c>
      <c r="F116" s="17">
        <v>3</v>
      </c>
      <c r="G116" s="17">
        <v>180</v>
      </c>
      <c r="H116" s="17" t="s">
        <v>33</v>
      </c>
      <c r="I116" s="17" t="s">
        <v>49</v>
      </c>
      <c r="J116" s="17" t="s">
        <v>30</v>
      </c>
      <c r="K116" s="25" t="s">
        <v>45</v>
      </c>
    </row>
    <row r="117" spans="1:11" x14ac:dyDescent="0.25">
      <c r="A117" s="23" t="s">
        <v>198</v>
      </c>
      <c r="B117" s="24">
        <v>45735</v>
      </c>
      <c r="C117" s="17" t="s">
        <v>63</v>
      </c>
      <c r="D117" s="17" t="s">
        <v>22</v>
      </c>
      <c r="E117" s="17">
        <v>800</v>
      </c>
      <c r="F117" s="17">
        <v>4</v>
      </c>
      <c r="G117" s="17">
        <v>3200</v>
      </c>
      <c r="H117" s="17" t="s">
        <v>15</v>
      </c>
      <c r="I117" s="17" t="s">
        <v>77</v>
      </c>
      <c r="J117" s="17" t="s">
        <v>30</v>
      </c>
      <c r="K117" s="25" t="s">
        <v>45</v>
      </c>
    </row>
    <row r="118" spans="1:11" x14ac:dyDescent="0.25">
      <c r="A118" s="23" t="s">
        <v>199</v>
      </c>
      <c r="B118" s="24">
        <v>45715</v>
      </c>
      <c r="C118" s="17" t="s">
        <v>39</v>
      </c>
      <c r="D118" s="17" t="s">
        <v>40</v>
      </c>
      <c r="E118" s="17">
        <v>20</v>
      </c>
      <c r="F118" s="17">
        <v>1</v>
      </c>
      <c r="G118" s="17">
        <v>20</v>
      </c>
      <c r="H118" s="17" t="s">
        <v>64</v>
      </c>
      <c r="I118" s="17" t="s">
        <v>16</v>
      </c>
      <c r="J118" s="17" t="s">
        <v>35</v>
      </c>
      <c r="K118" s="25" t="s">
        <v>45</v>
      </c>
    </row>
    <row r="119" spans="1:11" x14ac:dyDescent="0.25">
      <c r="A119" s="23" t="s">
        <v>201</v>
      </c>
      <c r="B119" s="24">
        <v>45698</v>
      </c>
      <c r="C119" s="17" t="s">
        <v>21</v>
      </c>
      <c r="D119" s="17" t="s">
        <v>22</v>
      </c>
      <c r="E119" s="17">
        <v>100</v>
      </c>
      <c r="F119" s="17">
        <v>5</v>
      </c>
      <c r="G119" s="17">
        <v>500</v>
      </c>
      <c r="H119" s="17" t="s">
        <v>28</v>
      </c>
      <c r="I119" s="17" t="s">
        <v>43</v>
      </c>
      <c r="J119" s="17" t="s">
        <v>30</v>
      </c>
      <c r="K119" s="25" t="s">
        <v>45</v>
      </c>
    </row>
    <row r="120" spans="1:11" x14ac:dyDescent="0.25">
      <c r="A120" s="23" t="s">
        <v>202</v>
      </c>
      <c r="B120" s="24">
        <v>45732</v>
      </c>
      <c r="C120" s="17" t="s">
        <v>47</v>
      </c>
      <c r="D120" s="17" t="s">
        <v>22</v>
      </c>
      <c r="E120" s="17">
        <v>500</v>
      </c>
      <c r="F120" s="17">
        <v>2</v>
      </c>
      <c r="G120" s="17">
        <v>1000</v>
      </c>
      <c r="H120" s="17" t="s">
        <v>82</v>
      </c>
      <c r="I120" s="17" t="s">
        <v>94</v>
      </c>
      <c r="J120" s="17" t="s">
        <v>44</v>
      </c>
      <c r="K120" s="25" t="s">
        <v>25</v>
      </c>
    </row>
    <row r="121" spans="1:11" x14ac:dyDescent="0.25">
      <c r="A121" s="23" t="s">
        <v>203</v>
      </c>
      <c r="B121" s="24">
        <v>45704</v>
      </c>
      <c r="C121" s="17" t="s">
        <v>63</v>
      </c>
      <c r="D121" s="17" t="s">
        <v>22</v>
      </c>
      <c r="E121" s="17">
        <v>800</v>
      </c>
      <c r="F121" s="17">
        <v>5</v>
      </c>
      <c r="G121" s="17">
        <v>4000</v>
      </c>
      <c r="H121" s="17" t="s">
        <v>23</v>
      </c>
      <c r="I121" s="17" t="s">
        <v>29</v>
      </c>
      <c r="J121" s="17" t="s">
        <v>44</v>
      </c>
      <c r="K121" s="25" t="s">
        <v>45</v>
      </c>
    </row>
    <row r="122" spans="1:11" x14ac:dyDescent="0.25">
      <c r="A122" s="23" t="s">
        <v>204</v>
      </c>
      <c r="B122" s="24">
        <v>45706</v>
      </c>
      <c r="C122" s="17" t="s">
        <v>47</v>
      </c>
      <c r="D122" s="17" t="s">
        <v>22</v>
      </c>
      <c r="E122" s="17">
        <v>500</v>
      </c>
      <c r="F122" s="17">
        <v>1</v>
      </c>
      <c r="G122" s="17">
        <v>500</v>
      </c>
      <c r="H122" s="17" t="s">
        <v>28</v>
      </c>
      <c r="I122" s="17" t="s">
        <v>34</v>
      </c>
      <c r="J122" s="17" t="s">
        <v>65</v>
      </c>
      <c r="K122" s="25" t="s">
        <v>25</v>
      </c>
    </row>
    <row r="123" spans="1:11" x14ac:dyDescent="0.25">
      <c r="A123" s="23" t="s">
        <v>205</v>
      </c>
      <c r="B123" s="24">
        <v>45744</v>
      </c>
      <c r="C123" s="17" t="s">
        <v>63</v>
      </c>
      <c r="D123" s="17" t="s">
        <v>22</v>
      </c>
      <c r="E123" s="17">
        <v>800</v>
      </c>
      <c r="F123" s="17">
        <v>3</v>
      </c>
      <c r="G123" s="17">
        <v>2400</v>
      </c>
      <c r="H123" s="17" t="s">
        <v>28</v>
      </c>
      <c r="I123" s="17" t="s">
        <v>49</v>
      </c>
      <c r="J123" s="17" t="s">
        <v>35</v>
      </c>
      <c r="K123" s="25" t="s">
        <v>18</v>
      </c>
    </row>
    <row r="124" spans="1:11" x14ac:dyDescent="0.25">
      <c r="A124" s="23" t="s">
        <v>207</v>
      </c>
      <c r="B124" s="24">
        <v>45711</v>
      </c>
      <c r="C124" s="17" t="s">
        <v>55</v>
      </c>
      <c r="D124" s="17" t="s">
        <v>56</v>
      </c>
      <c r="E124" s="17">
        <v>15</v>
      </c>
      <c r="F124" s="17">
        <v>3</v>
      </c>
      <c r="G124" s="17">
        <v>45</v>
      </c>
      <c r="H124" s="17" t="s">
        <v>82</v>
      </c>
      <c r="I124" s="17" t="s">
        <v>51</v>
      </c>
      <c r="J124" s="17" t="s">
        <v>65</v>
      </c>
      <c r="K124" s="25" t="s">
        <v>18</v>
      </c>
    </row>
    <row r="125" spans="1:11" x14ac:dyDescent="0.25">
      <c r="A125" s="23" t="s">
        <v>208</v>
      </c>
      <c r="B125" s="24">
        <v>45698</v>
      </c>
      <c r="C125" s="17" t="s">
        <v>55</v>
      </c>
      <c r="D125" s="17" t="s">
        <v>56</v>
      </c>
      <c r="E125" s="17">
        <v>15</v>
      </c>
      <c r="F125" s="17">
        <v>1</v>
      </c>
      <c r="G125" s="17">
        <v>15</v>
      </c>
      <c r="H125" s="17" t="s">
        <v>15</v>
      </c>
      <c r="I125" s="17" t="s">
        <v>71</v>
      </c>
      <c r="J125" s="17" t="s">
        <v>65</v>
      </c>
      <c r="K125" s="25" t="s">
        <v>25</v>
      </c>
    </row>
    <row r="126" spans="1:11" x14ac:dyDescent="0.25">
      <c r="A126" s="23" t="s">
        <v>209</v>
      </c>
      <c r="B126" s="24">
        <v>45711</v>
      </c>
      <c r="C126" s="17" t="s">
        <v>47</v>
      </c>
      <c r="D126" s="17" t="s">
        <v>22</v>
      </c>
      <c r="E126" s="17">
        <v>500</v>
      </c>
      <c r="F126" s="17">
        <v>1</v>
      </c>
      <c r="G126" s="17">
        <v>500</v>
      </c>
      <c r="H126" s="17" t="s">
        <v>23</v>
      </c>
      <c r="I126" s="17" t="s">
        <v>29</v>
      </c>
      <c r="J126" s="17" t="s">
        <v>30</v>
      </c>
      <c r="K126" s="25" t="s">
        <v>45</v>
      </c>
    </row>
    <row r="127" spans="1:11" x14ac:dyDescent="0.25">
      <c r="A127" s="23" t="s">
        <v>210</v>
      </c>
      <c r="B127" s="24">
        <v>45692</v>
      </c>
      <c r="C127" s="17" t="s">
        <v>74</v>
      </c>
      <c r="D127" s="17" t="s">
        <v>68</v>
      </c>
      <c r="E127" s="17">
        <v>1200</v>
      </c>
      <c r="F127" s="17">
        <v>5</v>
      </c>
      <c r="G127" s="17">
        <v>6000</v>
      </c>
      <c r="H127" s="17" t="s">
        <v>33</v>
      </c>
      <c r="I127" s="17" t="s">
        <v>94</v>
      </c>
      <c r="J127" s="17" t="s">
        <v>65</v>
      </c>
      <c r="K127" s="25" t="s">
        <v>25</v>
      </c>
    </row>
    <row r="128" spans="1:11" x14ac:dyDescent="0.25">
      <c r="A128" s="23" t="s">
        <v>211</v>
      </c>
      <c r="B128" s="24">
        <v>45706</v>
      </c>
      <c r="C128" s="17" t="s">
        <v>39</v>
      </c>
      <c r="D128" s="17" t="s">
        <v>40</v>
      </c>
      <c r="E128" s="17">
        <v>20</v>
      </c>
      <c r="F128" s="17">
        <v>3</v>
      </c>
      <c r="G128" s="17">
        <v>60</v>
      </c>
      <c r="H128" s="17" t="s">
        <v>15</v>
      </c>
      <c r="I128" s="17" t="s">
        <v>34</v>
      </c>
      <c r="J128" s="17" t="s">
        <v>17</v>
      </c>
      <c r="K128" s="25" t="s">
        <v>45</v>
      </c>
    </row>
    <row r="129" spans="1:11" x14ac:dyDescent="0.25">
      <c r="A129" s="23" t="s">
        <v>212</v>
      </c>
      <c r="B129" s="24">
        <v>45739</v>
      </c>
      <c r="C129" s="17" t="s">
        <v>37</v>
      </c>
      <c r="D129" s="17" t="s">
        <v>22</v>
      </c>
      <c r="E129" s="17">
        <v>150</v>
      </c>
      <c r="F129" s="17">
        <v>2</v>
      </c>
      <c r="G129" s="17">
        <v>300</v>
      </c>
      <c r="H129" s="17" t="s">
        <v>23</v>
      </c>
      <c r="I129" s="17" t="s">
        <v>34</v>
      </c>
      <c r="J129" s="17" t="s">
        <v>44</v>
      </c>
      <c r="K129" s="25" t="s">
        <v>18</v>
      </c>
    </row>
    <row r="130" spans="1:11" x14ac:dyDescent="0.25">
      <c r="A130" s="23" t="s">
        <v>214</v>
      </c>
      <c r="B130" s="24">
        <v>45714</v>
      </c>
      <c r="C130" s="17" t="s">
        <v>60</v>
      </c>
      <c r="D130" s="17" t="s">
        <v>40</v>
      </c>
      <c r="E130" s="17">
        <v>40</v>
      </c>
      <c r="F130" s="17">
        <v>5</v>
      </c>
      <c r="G130" s="17">
        <v>200</v>
      </c>
      <c r="H130" s="17" t="s">
        <v>23</v>
      </c>
      <c r="I130" s="17" t="s">
        <v>16</v>
      </c>
      <c r="J130" s="17" t="s">
        <v>17</v>
      </c>
      <c r="K130" s="25" t="s">
        <v>25</v>
      </c>
    </row>
    <row r="131" spans="1:11" x14ac:dyDescent="0.25">
      <c r="A131" s="23" t="s">
        <v>215</v>
      </c>
      <c r="B131" s="24">
        <v>45698</v>
      </c>
      <c r="C131" s="17" t="s">
        <v>37</v>
      </c>
      <c r="D131" s="17" t="s">
        <v>22</v>
      </c>
      <c r="E131" s="17">
        <v>150</v>
      </c>
      <c r="F131" s="17">
        <v>5</v>
      </c>
      <c r="G131" s="17">
        <v>750</v>
      </c>
      <c r="H131" s="17" t="s">
        <v>57</v>
      </c>
      <c r="I131" s="17" t="s">
        <v>51</v>
      </c>
      <c r="J131" s="17" t="s">
        <v>44</v>
      </c>
      <c r="K131" s="25" t="s">
        <v>45</v>
      </c>
    </row>
    <row r="132" spans="1:11" x14ac:dyDescent="0.25">
      <c r="A132" s="23" t="s">
        <v>216</v>
      </c>
      <c r="B132" s="24">
        <v>45714</v>
      </c>
      <c r="C132" s="17" t="s">
        <v>60</v>
      </c>
      <c r="D132" s="17" t="s">
        <v>40</v>
      </c>
      <c r="E132" s="17">
        <v>40</v>
      </c>
      <c r="F132" s="17">
        <v>2</v>
      </c>
      <c r="G132" s="17">
        <v>80</v>
      </c>
      <c r="H132" s="17" t="s">
        <v>64</v>
      </c>
      <c r="I132" s="17" t="s">
        <v>94</v>
      </c>
      <c r="J132" s="17" t="s">
        <v>35</v>
      </c>
      <c r="K132" s="25" t="s">
        <v>25</v>
      </c>
    </row>
    <row r="133" spans="1:11" x14ac:dyDescent="0.25">
      <c r="A133" s="23" t="s">
        <v>217</v>
      </c>
      <c r="B133" s="24">
        <v>45723</v>
      </c>
      <c r="C133" s="17" t="s">
        <v>47</v>
      </c>
      <c r="D133" s="17" t="s">
        <v>22</v>
      </c>
      <c r="E133" s="17">
        <v>500</v>
      </c>
      <c r="F133" s="17">
        <v>2</v>
      </c>
      <c r="G133" s="17">
        <v>1000</v>
      </c>
      <c r="H133" s="17" t="s">
        <v>33</v>
      </c>
      <c r="I133" s="17" t="s">
        <v>94</v>
      </c>
      <c r="J133" s="17" t="s">
        <v>17</v>
      </c>
      <c r="K133" s="25" t="s">
        <v>25</v>
      </c>
    </row>
    <row r="134" spans="1:11" x14ac:dyDescent="0.25">
      <c r="A134" s="23" t="s">
        <v>218</v>
      </c>
      <c r="B134" s="24">
        <v>45711</v>
      </c>
      <c r="C134" s="17" t="s">
        <v>63</v>
      </c>
      <c r="D134" s="17" t="s">
        <v>22</v>
      </c>
      <c r="E134" s="17">
        <v>800</v>
      </c>
      <c r="F134" s="17">
        <v>1</v>
      </c>
      <c r="G134" s="17">
        <v>800</v>
      </c>
      <c r="H134" s="17" t="s">
        <v>23</v>
      </c>
      <c r="I134" s="17" t="s">
        <v>16</v>
      </c>
      <c r="J134" s="17" t="s">
        <v>30</v>
      </c>
      <c r="K134" s="25" t="s">
        <v>25</v>
      </c>
    </row>
    <row r="135" spans="1:11" x14ac:dyDescent="0.25">
      <c r="A135" s="23" t="s">
        <v>219</v>
      </c>
      <c r="B135" s="24">
        <v>45695</v>
      </c>
      <c r="C135" s="17" t="s">
        <v>47</v>
      </c>
      <c r="D135" s="17" t="s">
        <v>22</v>
      </c>
      <c r="E135" s="17">
        <v>500</v>
      </c>
      <c r="F135" s="17">
        <v>5</v>
      </c>
      <c r="G135" s="17">
        <v>2500</v>
      </c>
      <c r="H135" s="17" t="s">
        <v>57</v>
      </c>
      <c r="I135" s="17" t="s">
        <v>94</v>
      </c>
      <c r="J135" s="17" t="s">
        <v>65</v>
      </c>
      <c r="K135" s="25" t="s">
        <v>25</v>
      </c>
    </row>
    <row r="136" spans="1:11" x14ac:dyDescent="0.25">
      <c r="A136" s="23" t="s">
        <v>220</v>
      </c>
      <c r="B136" s="24">
        <v>45698</v>
      </c>
      <c r="C136" s="17" t="s">
        <v>39</v>
      </c>
      <c r="D136" s="17" t="s">
        <v>40</v>
      </c>
      <c r="E136" s="17">
        <v>20</v>
      </c>
      <c r="F136" s="17">
        <v>1</v>
      </c>
      <c r="G136" s="17">
        <v>20</v>
      </c>
      <c r="H136" s="17" t="s">
        <v>33</v>
      </c>
      <c r="I136" s="17" t="s">
        <v>49</v>
      </c>
      <c r="J136" s="17" t="s">
        <v>35</v>
      </c>
      <c r="K136" s="25" t="s">
        <v>25</v>
      </c>
    </row>
    <row r="137" spans="1:11" x14ac:dyDescent="0.25">
      <c r="A137" s="23" t="s">
        <v>221</v>
      </c>
      <c r="B137" s="24">
        <v>45699</v>
      </c>
      <c r="C137" s="17" t="s">
        <v>74</v>
      </c>
      <c r="D137" s="17" t="s">
        <v>68</v>
      </c>
      <c r="E137" s="17">
        <v>1200</v>
      </c>
      <c r="F137" s="17">
        <v>2</v>
      </c>
      <c r="G137" s="17">
        <v>2400</v>
      </c>
      <c r="H137" s="17" t="s">
        <v>64</v>
      </c>
      <c r="I137" s="17" t="s">
        <v>24</v>
      </c>
      <c r="J137" s="17" t="s">
        <v>44</v>
      </c>
      <c r="K137" s="25" t="s">
        <v>18</v>
      </c>
    </row>
    <row r="138" spans="1:11" x14ac:dyDescent="0.25">
      <c r="A138" s="23" t="s">
        <v>222</v>
      </c>
      <c r="B138" s="24">
        <v>45736</v>
      </c>
      <c r="C138" s="17" t="s">
        <v>37</v>
      </c>
      <c r="D138" s="17" t="s">
        <v>22</v>
      </c>
      <c r="E138" s="17">
        <v>150</v>
      </c>
      <c r="F138" s="17">
        <v>3</v>
      </c>
      <c r="G138" s="17">
        <v>450</v>
      </c>
      <c r="H138" s="17" t="s">
        <v>48</v>
      </c>
      <c r="I138" s="17" t="s">
        <v>24</v>
      </c>
      <c r="J138" s="17" t="s">
        <v>17</v>
      </c>
      <c r="K138" s="25" t="s">
        <v>45</v>
      </c>
    </row>
    <row r="139" spans="1:11" x14ac:dyDescent="0.25">
      <c r="A139" s="23" t="s">
        <v>223</v>
      </c>
      <c r="B139" s="24">
        <v>45699</v>
      </c>
      <c r="C139" s="17" t="s">
        <v>37</v>
      </c>
      <c r="D139" s="17" t="s">
        <v>22</v>
      </c>
      <c r="E139" s="17">
        <v>150</v>
      </c>
      <c r="F139" s="17">
        <v>5</v>
      </c>
      <c r="G139" s="17">
        <v>750</v>
      </c>
      <c r="H139" s="17" t="s">
        <v>28</v>
      </c>
      <c r="I139" s="17" t="s">
        <v>77</v>
      </c>
      <c r="J139" s="17" t="s">
        <v>35</v>
      </c>
      <c r="K139" s="25" t="s">
        <v>18</v>
      </c>
    </row>
    <row r="140" spans="1:11" x14ac:dyDescent="0.25">
      <c r="A140" s="23" t="s">
        <v>224</v>
      </c>
      <c r="B140" s="24">
        <v>45734</v>
      </c>
      <c r="C140" s="17" t="s">
        <v>63</v>
      </c>
      <c r="D140" s="17" t="s">
        <v>22</v>
      </c>
      <c r="E140" s="17">
        <v>800</v>
      </c>
      <c r="F140" s="17">
        <v>2</v>
      </c>
      <c r="G140" s="17">
        <v>1600</v>
      </c>
      <c r="H140" s="17" t="s">
        <v>61</v>
      </c>
      <c r="I140" s="17" t="s">
        <v>29</v>
      </c>
      <c r="J140" s="17" t="s">
        <v>44</v>
      </c>
      <c r="K140" s="25" t="s">
        <v>18</v>
      </c>
    </row>
    <row r="141" spans="1:11" x14ac:dyDescent="0.25">
      <c r="A141" s="23" t="s">
        <v>225</v>
      </c>
      <c r="B141" s="24">
        <v>45735</v>
      </c>
      <c r="C141" s="17" t="s">
        <v>37</v>
      </c>
      <c r="D141" s="17" t="s">
        <v>22</v>
      </c>
      <c r="E141" s="17">
        <v>150</v>
      </c>
      <c r="F141" s="17">
        <v>2</v>
      </c>
      <c r="G141" s="17">
        <v>300</v>
      </c>
      <c r="H141" s="17" t="s">
        <v>33</v>
      </c>
      <c r="I141" s="17" t="s">
        <v>49</v>
      </c>
      <c r="J141" s="17" t="s">
        <v>17</v>
      </c>
      <c r="K141" s="25" t="s">
        <v>45</v>
      </c>
    </row>
    <row r="142" spans="1:11" x14ac:dyDescent="0.25">
      <c r="A142" s="23" t="s">
        <v>226</v>
      </c>
      <c r="B142" s="24">
        <v>45737</v>
      </c>
      <c r="C142" s="17" t="s">
        <v>47</v>
      </c>
      <c r="D142" s="17" t="s">
        <v>22</v>
      </c>
      <c r="E142" s="17">
        <v>500</v>
      </c>
      <c r="F142" s="17">
        <v>2</v>
      </c>
      <c r="G142" s="17">
        <v>1000</v>
      </c>
      <c r="H142" s="17" t="s">
        <v>28</v>
      </c>
      <c r="I142" s="17" t="s">
        <v>49</v>
      </c>
      <c r="J142" s="17" t="s">
        <v>44</v>
      </c>
      <c r="K142" s="25" t="s">
        <v>45</v>
      </c>
    </row>
    <row r="143" spans="1:11" x14ac:dyDescent="0.25">
      <c r="A143" s="23" t="s">
        <v>227</v>
      </c>
      <c r="B143" s="24">
        <v>45731</v>
      </c>
      <c r="C143" s="17" t="s">
        <v>47</v>
      </c>
      <c r="D143" s="17" t="s">
        <v>22</v>
      </c>
      <c r="E143" s="17">
        <v>500</v>
      </c>
      <c r="F143" s="17">
        <v>3</v>
      </c>
      <c r="G143" s="17">
        <v>1500</v>
      </c>
      <c r="H143" s="17" t="s">
        <v>48</v>
      </c>
      <c r="I143" s="17" t="s">
        <v>49</v>
      </c>
      <c r="J143" s="17" t="s">
        <v>65</v>
      </c>
      <c r="K143" s="25" t="s">
        <v>45</v>
      </c>
    </row>
    <row r="144" spans="1:11" x14ac:dyDescent="0.25">
      <c r="A144" s="23" t="s">
        <v>228</v>
      </c>
      <c r="B144" s="24">
        <v>45747</v>
      </c>
      <c r="C144" s="17" t="s">
        <v>74</v>
      </c>
      <c r="D144" s="17" t="s">
        <v>68</v>
      </c>
      <c r="E144" s="17">
        <v>1200</v>
      </c>
      <c r="F144" s="17">
        <v>2</v>
      </c>
      <c r="G144" s="17">
        <v>2400</v>
      </c>
      <c r="H144" s="17" t="s">
        <v>93</v>
      </c>
      <c r="I144" s="17" t="s">
        <v>34</v>
      </c>
      <c r="J144" s="17" t="s">
        <v>44</v>
      </c>
      <c r="K144" s="25" t="s">
        <v>18</v>
      </c>
    </row>
    <row r="145" spans="1:11" x14ac:dyDescent="0.25">
      <c r="A145" s="23" t="s">
        <v>229</v>
      </c>
      <c r="B145" s="24">
        <v>45715</v>
      </c>
      <c r="C145" s="17" t="s">
        <v>60</v>
      </c>
      <c r="D145" s="17" t="s">
        <v>40</v>
      </c>
      <c r="E145" s="17">
        <v>40</v>
      </c>
      <c r="F145" s="17">
        <v>2</v>
      </c>
      <c r="G145" s="17">
        <v>80</v>
      </c>
      <c r="H145" s="17" t="s">
        <v>61</v>
      </c>
      <c r="I145" s="17" t="s">
        <v>77</v>
      </c>
      <c r="J145" s="17" t="s">
        <v>65</v>
      </c>
      <c r="K145" s="25" t="s">
        <v>18</v>
      </c>
    </row>
    <row r="146" spans="1:11" x14ac:dyDescent="0.25">
      <c r="A146" s="23" t="s">
        <v>230</v>
      </c>
      <c r="B146" s="24">
        <v>45724</v>
      </c>
      <c r="C146" s="17" t="s">
        <v>37</v>
      </c>
      <c r="D146" s="17" t="s">
        <v>22</v>
      </c>
      <c r="E146" s="17">
        <v>150</v>
      </c>
      <c r="F146" s="17">
        <v>2</v>
      </c>
      <c r="G146" s="17">
        <v>300</v>
      </c>
      <c r="H146" s="17" t="s">
        <v>61</v>
      </c>
      <c r="I146" s="17" t="s">
        <v>71</v>
      </c>
      <c r="J146" s="17" t="s">
        <v>17</v>
      </c>
      <c r="K146" s="25" t="s">
        <v>18</v>
      </c>
    </row>
    <row r="147" spans="1:11" x14ac:dyDescent="0.25">
      <c r="A147" s="23" t="s">
        <v>231</v>
      </c>
      <c r="B147" s="24">
        <v>45741</v>
      </c>
      <c r="C147" s="17" t="s">
        <v>37</v>
      </c>
      <c r="D147" s="17" t="s">
        <v>22</v>
      </c>
      <c r="E147" s="17">
        <v>150</v>
      </c>
      <c r="F147" s="17">
        <v>2</v>
      </c>
      <c r="G147" s="17">
        <v>300</v>
      </c>
      <c r="H147" s="17" t="s">
        <v>15</v>
      </c>
      <c r="I147" s="17" t="s">
        <v>51</v>
      </c>
      <c r="J147" s="17" t="s">
        <v>17</v>
      </c>
      <c r="K147" s="25" t="s">
        <v>45</v>
      </c>
    </row>
    <row r="148" spans="1:11" x14ac:dyDescent="0.25">
      <c r="A148" s="23" t="s">
        <v>232</v>
      </c>
      <c r="B148" s="24">
        <v>45693</v>
      </c>
      <c r="C148" s="17" t="s">
        <v>13</v>
      </c>
      <c r="D148" s="17" t="s">
        <v>14</v>
      </c>
      <c r="E148" s="17">
        <v>60</v>
      </c>
      <c r="F148" s="17">
        <v>5</v>
      </c>
      <c r="G148" s="17">
        <v>300</v>
      </c>
      <c r="H148" s="17" t="s">
        <v>93</v>
      </c>
      <c r="I148" s="17" t="s">
        <v>34</v>
      </c>
      <c r="J148" s="17" t="s">
        <v>44</v>
      </c>
      <c r="K148" s="25" t="s">
        <v>25</v>
      </c>
    </row>
    <row r="149" spans="1:11" x14ac:dyDescent="0.25">
      <c r="A149" s="23" t="s">
        <v>233</v>
      </c>
      <c r="B149" s="24">
        <v>45694</v>
      </c>
      <c r="C149" s="17" t="s">
        <v>21</v>
      </c>
      <c r="D149" s="17" t="s">
        <v>22</v>
      </c>
      <c r="E149" s="17">
        <v>100</v>
      </c>
      <c r="F149" s="17">
        <v>4</v>
      </c>
      <c r="G149" s="17">
        <v>400</v>
      </c>
      <c r="H149" s="17" t="s">
        <v>23</v>
      </c>
      <c r="I149" s="17" t="s">
        <v>77</v>
      </c>
      <c r="J149" s="17" t="s">
        <v>30</v>
      </c>
      <c r="K149" s="25" t="s">
        <v>18</v>
      </c>
    </row>
    <row r="150" spans="1:11" x14ac:dyDescent="0.25">
      <c r="A150" s="23" t="s">
        <v>234</v>
      </c>
      <c r="B150" s="24">
        <v>45736</v>
      </c>
      <c r="C150" s="17" t="s">
        <v>13</v>
      </c>
      <c r="D150" s="17" t="s">
        <v>14</v>
      </c>
      <c r="E150" s="17">
        <v>60</v>
      </c>
      <c r="F150" s="17">
        <v>3</v>
      </c>
      <c r="G150" s="17">
        <v>180</v>
      </c>
      <c r="H150" s="17" t="s">
        <v>61</v>
      </c>
      <c r="I150" s="17" t="s">
        <v>16</v>
      </c>
      <c r="J150" s="17" t="s">
        <v>65</v>
      </c>
      <c r="K150" s="25" t="s">
        <v>25</v>
      </c>
    </row>
    <row r="151" spans="1:11" x14ac:dyDescent="0.25">
      <c r="A151" s="23" t="s">
        <v>235</v>
      </c>
      <c r="B151" s="24">
        <v>45696</v>
      </c>
      <c r="C151" s="17" t="s">
        <v>55</v>
      </c>
      <c r="D151" s="17" t="s">
        <v>56</v>
      </c>
      <c r="E151" s="17">
        <v>15</v>
      </c>
      <c r="F151" s="17">
        <v>4</v>
      </c>
      <c r="G151" s="17">
        <v>60</v>
      </c>
      <c r="H151" s="17" t="s">
        <v>64</v>
      </c>
      <c r="I151" s="17" t="s">
        <v>94</v>
      </c>
      <c r="J151" s="17" t="s">
        <v>65</v>
      </c>
      <c r="K151" s="25" t="s">
        <v>18</v>
      </c>
    </row>
    <row r="152" spans="1:11" x14ac:dyDescent="0.25">
      <c r="A152" s="23" t="s">
        <v>236</v>
      </c>
      <c r="B152" s="24">
        <v>45745</v>
      </c>
      <c r="C152" s="17" t="s">
        <v>67</v>
      </c>
      <c r="D152" s="17" t="s">
        <v>68</v>
      </c>
      <c r="E152" s="17">
        <v>600</v>
      </c>
      <c r="F152" s="17">
        <v>4</v>
      </c>
      <c r="G152" s="17">
        <v>2400</v>
      </c>
      <c r="H152" s="17" t="s">
        <v>93</v>
      </c>
      <c r="I152" s="17" t="s">
        <v>77</v>
      </c>
      <c r="J152" s="17" t="s">
        <v>30</v>
      </c>
      <c r="K152" s="25" t="s">
        <v>25</v>
      </c>
    </row>
    <row r="153" spans="1:11" x14ac:dyDescent="0.25">
      <c r="A153" s="23" t="s">
        <v>238</v>
      </c>
      <c r="B153" s="24">
        <v>45716</v>
      </c>
      <c r="C153" s="17" t="s">
        <v>37</v>
      </c>
      <c r="D153" s="17" t="s">
        <v>22</v>
      </c>
      <c r="E153" s="17">
        <v>150</v>
      </c>
      <c r="F153" s="17">
        <v>1</v>
      </c>
      <c r="G153" s="17">
        <v>150</v>
      </c>
      <c r="H153" s="17" t="s">
        <v>28</v>
      </c>
      <c r="I153" s="17" t="s">
        <v>71</v>
      </c>
      <c r="J153" s="17" t="s">
        <v>65</v>
      </c>
      <c r="K153" s="25" t="s">
        <v>45</v>
      </c>
    </row>
    <row r="154" spans="1:11" x14ac:dyDescent="0.25">
      <c r="A154" s="23" t="s">
        <v>239</v>
      </c>
      <c r="B154" s="24">
        <v>45711</v>
      </c>
      <c r="C154" s="17" t="s">
        <v>37</v>
      </c>
      <c r="D154" s="17" t="s">
        <v>22</v>
      </c>
      <c r="E154" s="17">
        <v>150</v>
      </c>
      <c r="F154" s="17">
        <v>5</v>
      </c>
      <c r="G154" s="17">
        <v>750</v>
      </c>
      <c r="H154" s="17" t="s">
        <v>48</v>
      </c>
      <c r="I154" s="17" t="s">
        <v>24</v>
      </c>
      <c r="J154" s="17" t="s">
        <v>44</v>
      </c>
      <c r="K154" s="25" t="s">
        <v>25</v>
      </c>
    </row>
    <row r="155" spans="1:11" x14ac:dyDescent="0.25">
      <c r="A155" s="23" t="s">
        <v>240</v>
      </c>
      <c r="B155" s="24">
        <v>45717</v>
      </c>
      <c r="C155" s="17" t="s">
        <v>21</v>
      </c>
      <c r="D155" s="17" t="s">
        <v>22</v>
      </c>
      <c r="E155" s="17">
        <v>100</v>
      </c>
      <c r="F155" s="17">
        <v>2</v>
      </c>
      <c r="G155" s="17">
        <v>200</v>
      </c>
      <c r="H155" s="17" t="s">
        <v>28</v>
      </c>
      <c r="I155" s="17" t="s">
        <v>29</v>
      </c>
      <c r="J155" s="17" t="s">
        <v>17</v>
      </c>
      <c r="K155" s="25" t="s">
        <v>45</v>
      </c>
    </row>
    <row r="156" spans="1:11" x14ac:dyDescent="0.25">
      <c r="A156" s="23" t="s">
        <v>241</v>
      </c>
      <c r="B156" s="24">
        <v>45693</v>
      </c>
      <c r="C156" s="17" t="s">
        <v>74</v>
      </c>
      <c r="D156" s="17" t="s">
        <v>68</v>
      </c>
      <c r="E156" s="17">
        <v>1200</v>
      </c>
      <c r="F156" s="17">
        <v>4</v>
      </c>
      <c r="G156" s="17">
        <v>4800</v>
      </c>
      <c r="H156" s="17" t="s">
        <v>48</v>
      </c>
      <c r="I156" s="17" t="s">
        <v>71</v>
      </c>
      <c r="J156" s="17" t="s">
        <v>35</v>
      </c>
      <c r="K156" s="25" t="s">
        <v>25</v>
      </c>
    </row>
    <row r="157" spans="1:11" x14ac:dyDescent="0.25">
      <c r="A157" s="23" t="s">
        <v>242</v>
      </c>
      <c r="B157" s="24">
        <v>45732</v>
      </c>
      <c r="C157" s="17" t="s">
        <v>37</v>
      </c>
      <c r="D157" s="17" t="s">
        <v>22</v>
      </c>
      <c r="E157" s="17">
        <v>150</v>
      </c>
      <c r="F157" s="17">
        <v>4</v>
      </c>
      <c r="G157" s="17">
        <v>600</v>
      </c>
      <c r="H157" s="17" t="s">
        <v>33</v>
      </c>
      <c r="I157" s="17" t="s">
        <v>49</v>
      </c>
      <c r="J157" s="17" t="s">
        <v>44</v>
      </c>
      <c r="K157" s="25" t="s">
        <v>18</v>
      </c>
    </row>
    <row r="158" spans="1:11" x14ac:dyDescent="0.25">
      <c r="A158" s="23" t="s">
        <v>243</v>
      </c>
      <c r="B158" s="24">
        <v>45696</v>
      </c>
      <c r="C158" s="17" t="s">
        <v>47</v>
      </c>
      <c r="D158" s="17" t="s">
        <v>22</v>
      </c>
      <c r="E158" s="17">
        <v>500</v>
      </c>
      <c r="F158" s="17">
        <v>3</v>
      </c>
      <c r="G158" s="17">
        <v>1500</v>
      </c>
      <c r="H158" s="17" t="s">
        <v>48</v>
      </c>
      <c r="I158" s="17" t="s">
        <v>29</v>
      </c>
      <c r="J158" s="17" t="s">
        <v>35</v>
      </c>
      <c r="K158" s="25" t="s">
        <v>25</v>
      </c>
    </row>
    <row r="159" spans="1:11" x14ac:dyDescent="0.25">
      <c r="A159" s="23" t="s">
        <v>244</v>
      </c>
      <c r="B159" s="24">
        <v>45712</v>
      </c>
      <c r="C159" s="17" t="s">
        <v>63</v>
      </c>
      <c r="D159" s="17" t="s">
        <v>22</v>
      </c>
      <c r="E159" s="17">
        <v>800</v>
      </c>
      <c r="F159" s="17">
        <v>3</v>
      </c>
      <c r="G159" s="17">
        <v>2400</v>
      </c>
      <c r="H159" s="17" t="s">
        <v>82</v>
      </c>
      <c r="I159" s="17" t="s">
        <v>49</v>
      </c>
      <c r="J159" s="17" t="s">
        <v>17</v>
      </c>
      <c r="K159" s="25" t="s">
        <v>25</v>
      </c>
    </row>
    <row r="160" spans="1:11" x14ac:dyDescent="0.25">
      <c r="A160" s="23" t="s">
        <v>245</v>
      </c>
      <c r="B160" s="24">
        <v>45704</v>
      </c>
      <c r="C160" s="17" t="s">
        <v>39</v>
      </c>
      <c r="D160" s="17" t="s">
        <v>40</v>
      </c>
      <c r="E160" s="17">
        <v>20</v>
      </c>
      <c r="F160" s="17">
        <v>2</v>
      </c>
      <c r="G160" s="17">
        <v>40</v>
      </c>
      <c r="H160" s="17" t="s">
        <v>57</v>
      </c>
      <c r="I160" s="17" t="s">
        <v>34</v>
      </c>
      <c r="J160" s="17" t="s">
        <v>65</v>
      </c>
      <c r="K160" s="25" t="s">
        <v>18</v>
      </c>
    </row>
    <row r="161" spans="1:11" x14ac:dyDescent="0.25">
      <c r="A161" s="23" t="s">
        <v>246</v>
      </c>
      <c r="B161" s="24">
        <v>45694</v>
      </c>
      <c r="C161" s="17" t="s">
        <v>67</v>
      </c>
      <c r="D161" s="17" t="s">
        <v>68</v>
      </c>
      <c r="E161" s="17">
        <v>600</v>
      </c>
      <c r="F161" s="17">
        <v>3</v>
      </c>
      <c r="G161" s="17">
        <v>1800</v>
      </c>
      <c r="H161" s="17" t="s">
        <v>33</v>
      </c>
      <c r="I161" s="17" t="s">
        <v>29</v>
      </c>
      <c r="J161" s="17" t="s">
        <v>65</v>
      </c>
      <c r="K161" s="25" t="s">
        <v>18</v>
      </c>
    </row>
    <row r="162" spans="1:11" x14ac:dyDescent="0.25">
      <c r="A162" s="23" t="s">
        <v>247</v>
      </c>
      <c r="B162" s="24">
        <v>45710</v>
      </c>
      <c r="C162" s="17" t="s">
        <v>21</v>
      </c>
      <c r="D162" s="17" t="s">
        <v>22</v>
      </c>
      <c r="E162" s="17">
        <v>100</v>
      </c>
      <c r="F162" s="17">
        <v>1</v>
      </c>
      <c r="G162" s="17">
        <v>100</v>
      </c>
      <c r="H162" s="17" t="s">
        <v>23</v>
      </c>
      <c r="I162" s="17" t="s">
        <v>77</v>
      </c>
      <c r="J162" s="17" t="s">
        <v>35</v>
      </c>
      <c r="K162" s="25" t="s">
        <v>45</v>
      </c>
    </row>
    <row r="163" spans="1:11" x14ac:dyDescent="0.25">
      <c r="A163" s="23" t="s">
        <v>248</v>
      </c>
      <c r="B163" s="24">
        <v>45697</v>
      </c>
      <c r="C163" s="17" t="s">
        <v>47</v>
      </c>
      <c r="D163" s="17" t="s">
        <v>22</v>
      </c>
      <c r="E163" s="17">
        <v>500</v>
      </c>
      <c r="F163" s="17">
        <v>2</v>
      </c>
      <c r="G163" s="17">
        <v>1000</v>
      </c>
      <c r="H163" s="17" t="s">
        <v>33</v>
      </c>
      <c r="I163" s="17" t="s">
        <v>94</v>
      </c>
      <c r="J163" s="17" t="s">
        <v>35</v>
      </c>
      <c r="K163" s="25" t="s">
        <v>45</v>
      </c>
    </row>
    <row r="164" spans="1:11" x14ac:dyDescent="0.25">
      <c r="A164" s="23" t="s">
        <v>249</v>
      </c>
      <c r="B164" s="24">
        <v>45708</v>
      </c>
      <c r="C164" s="17" t="s">
        <v>13</v>
      </c>
      <c r="D164" s="17" t="s">
        <v>14</v>
      </c>
      <c r="E164" s="17">
        <v>60</v>
      </c>
      <c r="F164" s="17">
        <v>2</v>
      </c>
      <c r="G164" s="17">
        <v>120</v>
      </c>
      <c r="H164" s="17" t="s">
        <v>82</v>
      </c>
      <c r="I164" s="17" t="s">
        <v>43</v>
      </c>
      <c r="J164" s="17" t="s">
        <v>44</v>
      </c>
      <c r="K164" s="25" t="s">
        <v>45</v>
      </c>
    </row>
    <row r="165" spans="1:11" x14ac:dyDescent="0.25">
      <c r="A165" s="23" t="s">
        <v>250</v>
      </c>
      <c r="B165" s="24">
        <v>45713</v>
      </c>
      <c r="C165" s="17" t="s">
        <v>37</v>
      </c>
      <c r="D165" s="17" t="s">
        <v>22</v>
      </c>
      <c r="E165" s="17">
        <v>150</v>
      </c>
      <c r="F165" s="17">
        <v>5</v>
      </c>
      <c r="G165" s="17">
        <v>750</v>
      </c>
      <c r="H165" s="17" t="s">
        <v>61</v>
      </c>
      <c r="I165" s="17" t="s">
        <v>51</v>
      </c>
      <c r="J165" s="17" t="s">
        <v>17</v>
      </c>
      <c r="K165" s="25" t="s">
        <v>25</v>
      </c>
    </row>
    <row r="166" spans="1:11" x14ac:dyDescent="0.25">
      <c r="A166" s="23" t="s">
        <v>251</v>
      </c>
      <c r="B166" s="24">
        <v>45730</v>
      </c>
      <c r="C166" s="17" t="s">
        <v>55</v>
      </c>
      <c r="D166" s="17" t="s">
        <v>56</v>
      </c>
      <c r="E166" s="17">
        <v>15</v>
      </c>
      <c r="F166" s="17">
        <v>1</v>
      </c>
      <c r="G166" s="17">
        <v>15</v>
      </c>
      <c r="H166" s="17" t="s">
        <v>57</v>
      </c>
      <c r="I166" s="17" t="s">
        <v>16</v>
      </c>
      <c r="J166" s="17" t="s">
        <v>30</v>
      </c>
      <c r="K166" s="25" t="s">
        <v>25</v>
      </c>
    </row>
    <row r="167" spans="1:11" x14ac:dyDescent="0.25">
      <c r="A167" s="23" t="s">
        <v>252</v>
      </c>
      <c r="B167" s="24">
        <v>45746</v>
      </c>
      <c r="C167" s="17" t="s">
        <v>67</v>
      </c>
      <c r="D167" s="17" t="s">
        <v>68</v>
      </c>
      <c r="E167" s="17">
        <v>600</v>
      </c>
      <c r="F167" s="17">
        <v>4</v>
      </c>
      <c r="G167" s="17">
        <v>2400</v>
      </c>
      <c r="H167" s="17" t="s">
        <v>82</v>
      </c>
      <c r="I167" s="17" t="s">
        <v>43</v>
      </c>
      <c r="J167" s="17" t="s">
        <v>35</v>
      </c>
      <c r="K167" s="25" t="s">
        <v>25</v>
      </c>
    </row>
    <row r="168" spans="1:11" x14ac:dyDescent="0.25">
      <c r="A168" s="23" t="s">
        <v>253</v>
      </c>
      <c r="B168" s="24">
        <v>45736</v>
      </c>
      <c r="C168" s="17" t="s">
        <v>74</v>
      </c>
      <c r="D168" s="17" t="s">
        <v>68</v>
      </c>
      <c r="E168" s="17">
        <v>1200</v>
      </c>
      <c r="F168" s="17">
        <v>2</v>
      </c>
      <c r="G168" s="17">
        <v>2400</v>
      </c>
      <c r="H168" s="17" t="s">
        <v>33</v>
      </c>
      <c r="I168" s="17" t="s">
        <v>71</v>
      </c>
      <c r="J168" s="17" t="s">
        <v>35</v>
      </c>
      <c r="K168" s="25" t="s">
        <v>45</v>
      </c>
    </row>
    <row r="169" spans="1:11" x14ac:dyDescent="0.25">
      <c r="A169" s="23" t="s">
        <v>254</v>
      </c>
      <c r="B169" s="24">
        <v>45740</v>
      </c>
      <c r="C169" s="17" t="s">
        <v>63</v>
      </c>
      <c r="D169" s="17" t="s">
        <v>22</v>
      </c>
      <c r="E169" s="17">
        <v>800</v>
      </c>
      <c r="F169" s="17">
        <v>5</v>
      </c>
      <c r="G169" s="17">
        <v>4000</v>
      </c>
      <c r="H169" s="17" t="s">
        <v>61</v>
      </c>
      <c r="I169" s="17" t="s">
        <v>49</v>
      </c>
      <c r="J169" s="17" t="s">
        <v>17</v>
      </c>
      <c r="K169" s="25" t="s">
        <v>25</v>
      </c>
    </row>
    <row r="170" spans="1:11" x14ac:dyDescent="0.25">
      <c r="A170" s="23" t="s">
        <v>255</v>
      </c>
      <c r="B170" s="24">
        <v>45722</v>
      </c>
      <c r="C170" s="17" t="s">
        <v>74</v>
      </c>
      <c r="D170" s="17" t="s">
        <v>68</v>
      </c>
      <c r="E170" s="17">
        <v>1200</v>
      </c>
      <c r="F170" s="17">
        <v>2</v>
      </c>
      <c r="G170" s="17">
        <v>2400</v>
      </c>
      <c r="H170" s="17" t="s">
        <v>28</v>
      </c>
      <c r="I170" s="17" t="s">
        <v>29</v>
      </c>
      <c r="J170" s="17" t="s">
        <v>44</v>
      </c>
      <c r="K170" s="25" t="s">
        <v>45</v>
      </c>
    </row>
    <row r="171" spans="1:11" x14ac:dyDescent="0.25">
      <c r="A171" s="23" t="s">
        <v>256</v>
      </c>
      <c r="B171" s="24">
        <v>45716</v>
      </c>
      <c r="C171" s="17" t="s">
        <v>63</v>
      </c>
      <c r="D171" s="17" t="s">
        <v>22</v>
      </c>
      <c r="E171" s="17">
        <v>800</v>
      </c>
      <c r="F171" s="17">
        <v>1</v>
      </c>
      <c r="G171" s="17">
        <v>800</v>
      </c>
      <c r="H171" s="17" t="s">
        <v>15</v>
      </c>
      <c r="I171" s="17" t="s">
        <v>24</v>
      </c>
      <c r="J171" s="17" t="s">
        <v>65</v>
      </c>
      <c r="K171" s="25" t="s">
        <v>25</v>
      </c>
    </row>
    <row r="172" spans="1:11" x14ac:dyDescent="0.25">
      <c r="A172" s="23" t="s">
        <v>257</v>
      </c>
      <c r="B172" s="24">
        <v>45716</v>
      </c>
      <c r="C172" s="17" t="s">
        <v>37</v>
      </c>
      <c r="D172" s="17" t="s">
        <v>22</v>
      </c>
      <c r="E172" s="17">
        <v>150</v>
      </c>
      <c r="F172" s="17">
        <v>2</v>
      </c>
      <c r="G172" s="17">
        <v>300</v>
      </c>
      <c r="H172" s="17" t="s">
        <v>64</v>
      </c>
      <c r="I172" s="17" t="s">
        <v>43</v>
      </c>
      <c r="J172" s="17" t="s">
        <v>44</v>
      </c>
      <c r="K172" s="25" t="s">
        <v>45</v>
      </c>
    </row>
    <row r="173" spans="1:11" x14ac:dyDescent="0.25">
      <c r="A173" s="23" t="s">
        <v>258</v>
      </c>
      <c r="B173" s="24">
        <v>45728</v>
      </c>
      <c r="C173" s="17" t="s">
        <v>55</v>
      </c>
      <c r="D173" s="17" t="s">
        <v>56</v>
      </c>
      <c r="E173" s="17">
        <v>15</v>
      </c>
      <c r="F173" s="17">
        <v>1</v>
      </c>
      <c r="G173" s="17">
        <v>15</v>
      </c>
      <c r="H173" s="17" t="s">
        <v>57</v>
      </c>
      <c r="I173" s="17" t="s">
        <v>49</v>
      </c>
      <c r="J173" s="17" t="s">
        <v>17</v>
      </c>
      <c r="K173" s="25" t="s">
        <v>18</v>
      </c>
    </row>
    <row r="174" spans="1:11" x14ac:dyDescent="0.25">
      <c r="A174" s="23" t="s">
        <v>259</v>
      </c>
      <c r="B174" s="24">
        <v>45716</v>
      </c>
      <c r="C174" s="17" t="s">
        <v>74</v>
      </c>
      <c r="D174" s="17" t="s">
        <v>68</v>
      </c>
      <c r="E174" s="17">
        <v>1200</v>
      </c>
      <c r="F174" s="17">
        <v>1</v>
      </c>
      <c r="G174" s="17">
        <v>1200</v>
      </c>
      <c r="H174" s="17" t="s">
        <v>33</v>
      </c>
      <c r="I174" s="17" t="s">
        <v>71</v>
      </c>
      <c r="J174" s="17" t="s">
        <v>44</v>
      </c>
      <c r="K174" s="25" t="s">
        <v>45</v>
      </c>
    </row>
    <row r="175" spans="1:11" x14ac:dyDescent="0.25">
      <c r="A175" s="23" t="s">
        <v>260</v>
      </c>
      <c r="B175" s="24">
        <v>45729</v>
      </c>
      <c r="C175" s="17" t="s">
        <v>37</v>
      </c>
      <c r="D175" s="17" t="s">
        <v>22</v>
      </c>
      <c r="E175" s="17">
        <v>150</v>
      </c>
      <c r="F175" s="17">
        <v>2</v>
      </c>
      <c r="G175" s="17">
        <v>300</v>
      </c>
      <c r="H175" s="17" t="s">
        <v>57</v>
      </c>
      <c r="I175" s="17" t="s">
        <v>94</v>
      </c>
      <c r="J175" s="17" t="s">
        <v>17</v>
      </c>
      <c r="K175" s="25" t="s">
        <v>25</v>
      </c>
    </row>
    <row r="176" spans="1:11" x14ac:dyDescent="0.25">
      <c r="A176" s="23" t="s">
        <v>261</v>
      </c>
      <c r="B176" s="24">
        <v>45740</v>
      </c>
      <c r="C176" s="17" t="s">
        <v>60</v>
      </c>
      <c r="D176" s="17" t="s">
        <v>40</v>
      </c>
      <c r="E176" s="17">
        <v>40</v>
      </c>
      <c r="F176" s="17">
        <v>5</v>
      </c>
      <c r="G176" s="17">
        <v>200</v>
      </c>
      <c r="H176" s="17" t="s">
        <v>57</v>
      </c>
      <c r="I176" s="17" t="s">
        <v>16</v>
      </c>
      <c r="J176" s="17" t="s">
        <v>17</v>
      </c>
      <c r="K176" s="25" t="s">
        <v>18</v>
      </c>
    </row>
    <row r="177" spans="1:11" x14ac:dyDescent="0.25">
      <c r="A177" s="23" t="s">
        <v>262</v>
      </c>
      <c r="B177" s="24">
        <v>45743</v>
      </c>
      <c r="C177" s="17" t="s">
        <v>55</v>
      </c>
      <c r="D177" s="17" t="s">
        <v>56</v>
      </c>
      <c r="E177" s="17">
        <v>15</v>
      </c>
      <c r="F177" s="17">
        <v>1</v>
      </c>
      <c r="G177" s="17">
        <v>15</v>
      </c>
      <c r="H177" s="17" t="s">
        <v>61</v>
      </c>
      <c r="I177" s="17" t="s">
        <v>51</v>
      </c>
      <c r="J177" s="17" t="s">
        <v>30</v>
      </c>
      <c r="K177" s="25" t="s">
        <v>45</v>
      </c>
    </row>
    <row r="178" spans="1:11" x14ac:dyDescent="0.25">
      <c r="A178" s="23" t="s">
        <v>264</v>
      </c>
      <c r="B178" s="24">
        <v>45730</v>
      </c>
      <c r="C178" s="17" t="s">
        <v>55</v>
      </c>
      <c r="D178" s="17" t="s">
        <v>56</v>
      </c>
      <c r="E178" s="17">
        <v>15</v>
      </c>
      <c r="F178" s="17">
        <v>5</v>
      </c>
      <c r="G178" s="17">
        <v>75</v>
      </c>
      <c r="H178" s="17" t="s">
        <v>57</v>
      </c>
      <c r="I178" s="17" t="s">
        <v>24</v>
      </c>
      <c r="J178" s="17" t="s">
        <v>35</v>
      </c>
      <c r="K178" s="25" t="s">
        <v>25</v>
      </c>
    </row>
    <row r="179" spans="1:11" x14ac:dyDescent="0.25">
      <c r="A179" s="23" t="s">
        <v>265</v>
      </c>
      <c r="B179" s="24">
        <v>45694</v>
      </c>
      <c r="C179" s="17" t="s">
        <v>47</v>
      </c>
      <c r="D179" s="17" t="s">
        <v>22</v>
      </c>
      <c r="E179" s="17">
        <v>500</v>
      </c>
      <c r="F179" s="17">
        <v>3</v>
      </c>
      <c r="G179" s="17">
        <v>1500</v>
      </c>
      <c r="H179" s="17" t="s">
        <v>23</v>
      </c>
      <c r="I179" s="17" t="s">
        <v>94</v>
      </c>
      <c r="J179" s="17" t="s">
        <v>44</v>
      </c>
      <c r="K179" s="25" t="s">
        <v>45</v>
      </c>
    </row>
    <row r="180" spans="1:11" x14ac:dyDescent="0.25">
      <c r="A180" s="23" t="s">
        <v>266</v>
      </c>
      <c r="B180" s="24">
        <v>45741</v>
      </c>
      <c r="C180" s="17" t="s">
        <v>60</v>
      </c>
      <c r="D180" s="17" t="s">
        <v>40</v>
      </c>
      <c r="E180" s="17">
        <v>40</v>
      </c>
      <c r="F180" s="17">
        <v>1</v>
      </c>
      <c r="G180" s="17">
        <v>40</v>
      </c>
      <c r="H180" s="17" t="s">
        <v>33</v>
      </c>
      <c r="I180" s="17" t="s">
        <v>71</v>
      </c>
      <c r="J180" s="17" t="s">
        <v>44</v>
      </c>
      <c r="K180" s="25" t="s">
        <v>18</v>
      </c>
    </row>
    <row r="181" spans="1:11" x14ac:dyDescent="0.25">
      <c r="A181" s="23" t="s">
        <v>267</v>
      </c>
      <c r="B181" s="24">
        <v>45720</v>
      </c>
      <c r="C181" s="17" t="s">
        <v>74</v>
      </c>
      <c r="D181" s="17" t="s">
        <v>68</v>
      </c>
      <c r="E181" s="17">
        <v>1200</v>
      </c>
      <c r="F181" s="17">
        <v>3</v>
      </c>
      <c r="G181" s="17">
        <v>3600</v>
      </c>
      <c r="H181" s="17" t="s">
        <v>57</v>
      </c>
      <c r="I181" s="17" t="s">
        <v>51</v>
      </c>
      <c r="J181" s="17" t="s">
        <v>65</v>
      </c>
      <c r="K181" s="25" t="s">
        <v>45</v>
      </c>
    </row>
    <row r="182" spans="1:11" x14ac:dyDescent="0.25">
      <c r="A182" s="23" t="s">
        <v>268</v>
      </c>
      <c r="B182" s="24">
        <v>45719</v>
      </c>
      <c r="C182" s="17" t="s">
        <v>13</v>
      </c>
      <c r="D182" s="17" t="s">
        <v>14</v>
      </c>
      <c r="E182" s="17">
        <v>60</v>
      </c>
      <c r="F182" s="17">
        <v>2</v>
      </c>
      <c r="G182" s="17">
        <v>120</v>
      </c>
      <c r="H182" s="17" t="s">
        <v>57</v>
      </c>
      <c r="I182" s="17" t="s">
        <v>77</v>
      </c>
      <c r="J182" s="17" t="s">
        <v>17</v>
      </c>
      <c r="K182" s="25" t="s">
        <v>18</v>
      </c>
    </row>
    <row r="183" spans="1:11" x14ac:dyDescent="0.25">
      <c r="A183" s="23" t="s">
        <v>269</v>
      </c>
      <c r="B183" s="24">
        <v>45749</v>
      </c>
      <c r="C183" s="17" t="s">
        <v>39</v>
      </c>
      <c r="D183" s="17" t="s">
        <v>40</v>
      </c>
      <c r="E183" s="17">
        <v>20</v>
      </c>
      <c r="F183" s="17">
        <v>5</v>
      </c>
      <c r="G183" s="17">
        <v>100</v>
      </c>
      <c r="H183" s="17" t="s">
        <v>15</v>
      </c>
      <c r="I183" s="17" t="s">
        <v>29</v>
      </c>
      <c r="J183" s="17" t="s">
        <v>44</v>
      </c>
      <c r="K183" s="25" t="s">
        <v>45</v>
      </c>
    </row>
    <row r="184" spans="1:11" x14ac:dyDescent="0.25">
      <c r="A184" s="23" t="s">
        <v>270</v>
      </c>
      <c r="B184" s="24">
        <v>45741</v>
      </c>
      <c r="C184" s="17" t="s">
        <v>67</v>
      </c>
      <c r="D184" s="17" t="s">
        <v>68</v>
      </c>
      <c r="E184" s="17">
        <v>600</v>
      </c>
      <c r="F184" s="17">
        <v>1</v>
      </c>
      <c r="G184" s="17">
        <v>600</v>
      </c>
      <c r="H184" s="17" t="s">
        <v>15</v>
      </c>
      <c r="I184" s="17" t="s">
        <v>71</v>
      </c>
      <c r="J184" s="17" t="s">
        <v>17</v>
      </c>
      <c r="K184" s="25" t="s">
        <v>25</v>
      </c>
    </row>
    <row r="185" spans="1:11" x14ac:dyDescent="0.25">
      <c r="A185" s="23" t="s">
        <v>271</v>
      </c>
      <c r="B185" s="24">
        <v>45705</v>
      </c>
      <c r="C185" s="17" t="s">
        <v>55</v>
      </c>
      <c r="D185" s="17" t="s">
        <v>56</v>
      </c>
      <c r="E185" s="17">
        <v>15</v>
      </c>
      <c r="F185" s="17">
        <v>5</v>
      </c>
      <c r="G185" s="17">
        <v>75</v>
      </c>
      <c r="H185" s="17" t="s">
        <v>64</v>
      </c>
      <c r="I185" s="17" t="s">
        <v>49</v>
      </c>
      <c r="J185" s="17" t="s">
        <v>17</v>
      </c>
      <c r="K185" s="25" t="s">
        <v>25</v>
      </c>
    </row>
    <row r="186" spans="1:11" x14ac:dyDescent="0.25">
      <c r="A186" s="23" t="s">
        <v>272</v>
      </c>
      <c r="B186" s="24">
        <v>45738</v>
      </c>
      <c r="C186" s="17" t="s">
        <v>39</v>
      </c>
      <c r="D186" s="17" t="s">
        <v>40</v>
      </c>
      <c r="E186" s="17">
        <v>20</v>
      </c>
      <c r="F186" s="17">
        <v>1</v>
      </c>
      <c r="G186" s="17">
        <v>20</v>
      </c>
      <c r="H186" s="17" t="s">
        <v>82</v>
      </c>
      <c r="I186" s="17" t="s">
        <v>34</v>
      </c>
      <c r="J186" s="17" t="s">
        <v>17</v>
      </c>
      <c r="K186" s="25" t="s">
        <v>45</v>
      </c>
    </row>
    <row r="187" spans="1:11" x14ac:dyDescent="0.25">
      <c r="A187" s="23" t="s">
        <v>273</v>
      </c>
      <c r="B187" s="24">
        <v>45718</v>
      </c>
      <c r="C187" s="17" t="s">
        <v>67</v>
      </c>
      <c r="D187" s="17" t="s">
        <v>68</v>
      </c>
      <c r="E187" s="17">
        <v>600</v>
      </c>
      <c r="F187" s="17">
        <v>4</v>
      </c>
      <c r="G187" s="17">
        <v>2400</v>
      </c>
      <c r="H187" s="17" t="s">
        <v>61</v>
      </c>
      <c r="I187" s="17" t="s">
        <v>16</v>
      </c>
      <c r="J187" s="17" t="s">
        <v>44</v>
      </c>
      <c r="K187" s="25" t="s">
        <v>45</v>
      </c>
    </row>
    <row r="188" spans="1:11" x14ac:dyDescent="0.25">
      <c r="A188" s="23" t="s">
        <v>274</v>
      </c>
      <c r="B188" s="24">
        <v>45729</v>
      </c>
      <c r="C188" s="17" t="s">
        <v>63</v>
      </c>
      <c r="D188" s="17" t="s">
        <v>22</v>
      </c>
      <c r="E188" s="17">
        <v>800</v>
      </c>
      <c r="F188" s="17">
        <v>3</v>
      </c>
      <c r="G188" s="17">
        <v>2400</v>
      </c>
      <c r="H188" s="17" t="s">
        <v>28</v>
      </c>
      <c r="I188" s="17" t="s">
        <v>16</v>
      </c>
      <c r="J188" s="17" t="s">
        <v>44</v>
      </c>
      <c r="K188" s="25" t="s">
        <v>25</v>
      </c>
    </row>
    <row r="189" spans="1:11" x14ac:dyDescent="0.25">
      <c r="A189" s="23" t="s">
        <v>275</v>
      </c>
      <c r="B189" s="24">
        <v>45702</v>
      </c>
      <c r="C189" s="17" t="s">
        <v>55</v>
      </c>
      <c r="D189" s="17" t="s">
        <v>56</v>
      </c>
      <c r="E189" s="17">
        <v>15</v>
      </c>
      <c r="F189" s="17">
        <v>1</v>
      </c>
      <c r="G189" s="17">
        <v>15</v>
      </c>
      <c r="H189" s="17" t="s">
        <v>28</v>
      </c>
      <c r="I189" s="17" t="s">
        <v>51</v>
      </c>
      <c r="J189" s="17" t="s">
        <v>30</v>
      </c>
      <c r="K189" s="25" t="s">
        <v>45</v>
      </c>
    </row>
    <row r="190" spans="1:11" x14ac:dyDescent="0.25">
      <c r="A190" s="23" t="s">
        <v>276</v>
      </c>
      <c r="B190" s="24">
        <v>45698</v>
      </c>
      <c r="C190" s="17" t="s">
        <v>63</v>
      </c>
      <c r="D190" s="17" t="s">
        <v>22</v>
      </c>
      <c r="E190" s="17">
        <v>800</v>
      </c>
      <c r="F190" s="17">
        <v>3</v>
      </c>
      <c r="G190" s="17">
        <v>2400</v>
      </c>
      <c r="H190" s="17" t="s">
        <v>93</v>
      </c>
      <c r="I190" s="17" t="s">
        <v>43</v>
      </c>
      <c r="J190" s="17" t="s">
        <v>30</v>
      </c>
      <c r="K190" s="25" t="s">
        <v>45</v>
      </c>
    </row>
    <row r="191" spans="1:11" x14ac:dyDescent="0.25">
      <c r="A191" s="23" t="s">
        <v>277</v>
      </c>
      <c r="B191" s="24">
        <v>45711</v>
      </c>
      <c r="C191" s="17" t="s">
        <v>13</v>
      </c>
      <c r="D191" s="17" t="s">
        <v>14</v>
      </c>
      <c r="E191" s="17">
        <v>60</v>
      </c>
      <c r="F191" s="17">
        <v>1</v>
      </c>
      <c r="G191" s="17">
        <v>60</v>
      </c>
      <c r="H191" s="17" t="s">
        <v>48</v>
      </c>
      <c r="I191" s="17" t="s">
        <v>43</v>
      </c>
      <c r="J191" s="17" t="s">
        <v>44</v>
      </c>
      <c r="K191" s="25" t="s">
        <v>45</v>
      </c>
    </row>
    <row r="192" spans="1:11" x14ac:dyDescent="0.25">
      <c r="A192" s="23" t="s">
        <v>278</v>
      </c>
      <c r="B192" s="24">
        <v>45716</v>
      </c>
      <c r="C192" s="17" t="s">
        <v>60</v>
      </c>
      <c r="D192" s="17" t="s">
        <v>40</v>
      </c>
      <c r="E192" s="17">
        <v>40</v>
      </c>
      <c r="F192" s="17">
        <v>4</v>
      </c>
      <c r="G192" s="17">
        <v>160</v>
      </c>
      <c r="H192" s="17" t="s">
        <v>28</v>
      </c>
      <c r="I192" s="17" t="s">
        <v>71</v>
      </c>
      <c r="J192" s="17" t="s">
        <v>30</v>
      </c>
      <c r="K192" s="25" t="s">
        <v>25</v>
      </c>
    </row>
    <row r="193" spans="1:11" x14ac:dyDescent="0.25">
      <c r="A193" s="23" t="s">
        <v>279</v>
      </c>
      <c r="B193" s="24">
        <v>45747</v>
      </c>
      <c r="C193" s="17" t="s">
        <v>21</v>
      </c>
      <c r="D193" s="17" t="s">
        <v>22</v>
      </c>
      <c r="E193" s="17">
        <v>100</v>
      </c>
      <c r="F193" s="17">
        <v>3</v>
      </c>
      <c r="G193" s="17">
        <v>300</v>
      </c>
      <c r="H193" s="17" t="s">
        <v>48</v>
      </c>
      <c r="I193" s="17" t="s">
        <v>34</v>
      </c>
      <c r="J193" s="17" t="s">
        <v>65</v>
      </c>
      <c r="K193" s="25" t="s">
        <v>25</v>
      </c>
    </row>
    <row r="194" spans="1:11" x14ac:dyDescent="0.25">
      <c r="A194" s="23" t="s">
        <v>280</v>
      </c>
      <c r="B194" s="24">
        <v>45746</v>
      </c>
      <c r="C194" s="17" t="s">
        <v>55</v>
      </c>
      <c r="D194" s="17" t="s">
        <v>56</v>
      </c>
      <c r="E194" s="17">
        <v>15</v>
      </c>
      <c r="F194" s="17">
        <v>5</v>
      </c>
      <c r="G194" s="17">
        <v>75</v>
      </c>
      <c r="H194" s="17" t="s">
        <v>57</v>
      </c>
      <c r="I194" s="17" t="s">
        <v>94</v>
      </c>
      <c r="J194" s="17" t="s">
        <v>30</v>
      </c>
      <c r="K194" s="25" t="s">
        <v>25</v>
      </c>
    </row>
    <row r="195" spans="1:11" x14ac:dyDescent="0.25">
      <c r="A195" s="23" t="s">
        <v>281</v>
      </c>
      <c r="B195" s="24">
        <v>45708</v>
      </c>
      <c r="C195" s="17" t="s">
        <v>60</v>
      </c>
      <c r="D195" s="17" t="s">
        <v>40</v>
      </c>
      <c r="E195" s="17">
        <v>40</v>
      </c>
      <c r="F195" s="17">
        <v>4</v>
      </c>
      <c r="G195" s="17">
        <v>160</v>
      </c>
      <c r="H195" s="17" t="s">
        <v>28</v>
      </c>
      <c r="I195" s="17" t="s">
        <v>24</v>
      </c>
      <c r="J195" s="17" t="s">
        <v>17</v>
      </c>
      <c r="K195" s="25" t="s">
        <v>18</v>
      </c>
    </row>
    <row r="196" spans="1:11" x14ac:dyDescent="0.25">
      <c r="A196" s="23" t="s">
        <v>282</v>
      </c>
      <c r="B196" s="24">
        <v>45726</v>
      </c>
      <c r="C196" s="17" t="s">
        <v>47</v>
      </c>
      <c r="D196" s="17" t="s">
        <v>22</v>
      </c>
      <c r="E196" s="17">
        <v>500</v>
      </c>
      <c r="F196" s="17">
        <v>3</v>
      </c>
      <c r="G196" s="17">
        <v>1500</v>
      </c>
      <c r="H196" s="17" t="s">
        <v>33</v>
      </c>
      <c r="I196" s="17" t="s">
        <v>29</v>
      </c>
      <c r="J196" s="17" t="s">
        <v>65</v>
      </c>
      <c r="K196" s="25" t="s">
        <v>18</v>
      </c>
    </row>
    <row r="197" spans="1:11" x14ac:dyDescent="0.25">
      <c r="A197" s="23" t="s">
        <v>283</v>
      </c>
      <c r="B197" s="24">
        <v>45720</v>
      </c>
      <c r="C197" s="17" t="s">
        <v>21</v>
      </c>
      <c r="D197" s="17" t="s">
        <v>22</v>
      </c>
      <c r="E197" s="17">
        <v>100</v>
      </c>
      <c r="F197" s="17">
        <v>5</v>
      </c>
      <c r="G197" s="17">
        <v>500</v>
      </c>
      <c r="H197" s="17" t="s">
        <v>64</v>
      </c>
      <c r="I197" s="17" t="s">
        <v>71</v>
      </c>
      <c r="J197" s="17" t="s">
        <v>17</v>
      </c>
      <c r="K197" s="25" t="s">
        <v>25</v>
      </c>
    </row>
    <row r="198" spans="1:11" x14ac:dyDescent="0.25">
      <c r="A198" s="23" t="s">
        <v>284</v>
      </c>
      <c r="B198" s="24">
        <v>45728</v>
      </c>
      <c r="C198" s="17" t="s">
        <v>13</v>
      </c>
      <c r="D198" s="17" t="s">
        <v>14</v>
      </c>
      <c r="E198" s="17">
        <v>60</v>
      </c>
      <c r="F198" s="17">
        <v>2</v>
      </c>
      <c r="G198" s="17">
        <v>120</v>
      </c>
      <c r="H198" s="17" t="s">
        <v>61</v>
      </c>
      <c r="I198" s="17" t="s">
        <v>29</v>
      </c>
      <c r="J198" s="17" t="s">
        <v>65</v>
      </c>
      <c r="K198" s="25" t="s">
        <v>45</v>
      </c>
    </row>
    <row r="199" spans="1:11" x14ac:dyDescent="0.25">
      <c r="A199" s="23" t="s">
        <v>285</v>
      </c>
      <c r="B199" s="24">
        <v>45708</v>
      </c>
      <c r="C199" s="17" t="s">
        <v>63</v>
      </c>
      <c r="D199" s="17" t="s">
        <v>22</v>
      </c>
      <c r="E199" s="17">
        <v>800</v>
      </c>
      <c r="F199" s="17">
        <v>4</v>
      </c>
      <c r="G199" s="17">
        <v>3200</v>
      </c>
      <c r="H199" s="17" t="s">
        <v>93</v>
      </c>
      <c r="I199" s="17" t="s">
        <v>71</v>
      </c>
      <c r="J199" s="17" t="s">
        <v>30</v>
      </c>
      <c r="K199" s="25" t="s">
        <v>25</v>
      </c>
    </row>
    <row r="200" spans="1:11" x14ac:dyDescent="0.25">
      <c r="A200" s="23" t="s">
        <v>286</v>
      </c>
      <c r="B200" s="24">
        <v>45710</v>
      </c>
      <c r="C200" s="17" t="s">
        <v>47</v>
      </c>
      <c r="D200" s="17" t="s">
        <v>22</v>
      </c>
      <c r="E200" s="17">
        <v>500</v>
      </c>
      <c r="F200" s="17">
        <v>3</v>
      </c>
      <c r="G200" s="17">
        <v>1500</v>
      </c>
      <c r="H200" s="17" t="s">
        <v>82</v>
      </c>
      <c r="I200" s="17" t="s">
        <v>34</v>
      </c>
      <c r="J200" s="17" t="s">
        <v>35</v>
      </c>
      <c r="K200" s="25" t="s">
        <v>45</v>
      </c>
    </row>
    <row r="201" spans="1:11" x14ac:dyDescent="0.25">
      <c r="A201" s="23" t="s">
        <v>287</v>
      </c>
      <c r="B201" s="24">
        <v>45698</v>
      </c>
      <c r="C201" s="17" t="s">
        <v>55</v>
      </c>
      <c r="D201" s="17" t="s">
        <v>56</v>
      </c>
      <c r="E201" s="17">
        <v>15</v>
      </c>
      <c r="F201" s="17">
        <v>2</v>
      </c>
      <c r="G201" s="17">
        <v>30</v>
      </c>
      <c r="H201" s="17" t="s">
        <v>82</v>
      </c>
      <c r="I201" s="17" t="s">
        <v>77</v>
      </c>
      <c r="J201" s="17" t="s">
        <v>17</v>
      </c>
      <c r="K201" s="25" t="s">
        <v>45</v>
      </c>
    </row>
    <row r="202" spans="1:11" x14ac:dyDescent="0.25">
      <c r="A202" s="23" t="s">
        <v>288</v>
      </c>
      <c r="B202" s="24">
        <v>45691</v>
      </c>
      <c r="C202" s="17" t="s">
        <v>55</v>
      </c>
      <c r="D202" s="17" t="s">
        <v>56</v>
      </c>
      <c r="E202" s="17">
        <v>15</v>
      </c>
      <c r="F202" s="17">
        <v>4</v>
      </c>
      <c r="G202" s="17">
        <v>60</v>
      </c>
      <c r="H202" s="17" t="s">
        <v>61</v>
      </c>
      <c r="I202" s="17" t="s">
        <v>24</v>
      </c>
      <c r="J202" s="17" t="s">
        <v>35</v>
      </c>
      <c r="K202" s="25" t="s">
        <v>45</v>
      </c>
    </row>
    <row r="203" spans="1:11" x14ac:dyDescent="0.25">
      <c r="A203" s="23" t="s">
        <v>289</v>
      </c>
      <c r="B203" s="24">
        <v>45709</v>
      </c>
      <c r="C203" s="17" t="s">
        <v>47</v>
      </c>
      <c r="D203" s="17" t="s">
        <v>22</v>
      </c>
      <c r="E203" s="17">
        <v>500</v>
      </c>
      <c r="F203" s="17">
        <v>2</v>
      </c>
      <c r="G203" s="17">
        <v>1000</v>
      </c>
      <c r="H203" s="17" t="s">
        <v>64</v>
      </c>
      <c r="I203" s="17" t="s">
        <v>49</v>
      </c>
      <c r="J203" s="17" t="s">
        <v>35</v>
      </c>
      <c r="K203" s="25" t="s">
        <v>18</v>
      </c>
    </row>
    <row r="204" spans="1:11" x14ac:dyDescent="0.25">
      <c r="A204" s="23" t="s">
        <v>291</v>
      </c>
      <c r="B204" s="24">
        <v>45709</v>
      </c>
      <c r="C204" s="17" t="s">
        <v>74</v>
      </c>
      <c r="D204" s="17" t="s">
        <v>68</v>
      </c>
      <c r="E204" s="17">
        <v>1200</v>
      </c>
      <c r="F204" s="17">
        <v>3</v>
      </c>
      <c r="G204" s="17">
        <v>3600</v>
      </c>
      <c r="H204" s="17" t="s">
        <v>28</v>
      </c>
      <c r="I204" s="17" t="s">
        <v>34</v>
      </c>
      <c r="J204" s="17" t="s">
        <v>17</v>
      </c>
      <c r="K204" s="25" t="s">
        <v>45</v>
      </c>
    </row>
    <row r="205" spans="1:11" x14ac:dyDescent="0.25">
      <c r="A205" s="23" t="s">
        <v>292</v>
      </c>
      <c r="B205" s="24">
        <v>45724</v>
      </c>
      <c r="C205" s="17" t="s">
        <v>13</v>
      </c>
      <c r="D205" s="17" t="s">
        <v>14</v>
      </c>
      <c r="E205" s="17">
        <v>60</v>
      </c>
      <c r="F205" s="17">
        <v>5</v>
      </c>
      <c r="G205" s="17">
        <v>300</v>
      </c>
      <c r="H205" s="17" t="s">
        <v>93</v>
      </c>
      <c r="I205" s="17" t="s">
        <v>49</v>
      </c>
      <c r="J205" s="17" t="s">
        <v>65</v>
      </c>
      <c r="K205" s="25" t="s">
        <v>25</v>
      </c>
    </row>
    <row r="206" spans="1:11" x14ac:dyDescent="0.25">
      <c r="A206" s="23" t="s">
        <v>293</v>
      </c>
      <c r="B206" s="24">
        <v>45715</v>
      </c>
      <c r="C206" s="17" t="s">
        <v>21</v>
      </c>
      <c r="D206" s="17" t="s">
        <v>22</v>
      </c>
      <c r="E206" s="17">
        <v>100</v>
      </c>
      <c r="F206" s="17">
        <v>2</v>
      </c>
      <c r="G206" s="17">
        <v>200</v>
      </c>
      <c r="H206" s="17" t="s">
        <v>57</v>
      </c>
      <c r="I206" s="17" t="s">
        <v>43</v>
      </c>
      <c r="J206" s="17" t="s">
        <v>44</v>
      </c>
      <c r="K206" s="25" t="s">
        <v>45</v>
      </c>
    </row>
    <row r="207" spans="1:11" x14ac:dyDescent="0.25">
      <c r="A207" s="23" t="s">
        <v>294</v>
      </c>
      <c r="B207" s="24">
        <v>45700</v>
      </c>
      <c r="C207" s="17" t="s">
        <v>67</v>
      </c>
      <c r="D207" s="17" t="s">
        <v>68</v>
      </c>
      <c r="E207" s="17">
        <v>600</v>
      </c>
      <c r="F207" s="17">
        <v>5</v>
      </c>
      <c r="G207" s="17">
        <v>3000</v>
      </c>
      <c r="H207" s="17" t="s">
        <v>15</v>
      </c>
      <c r="I207" s="17" t="s">
        <v>49</v>
      </c>
      <c r="J207" s="17" t="s">
        <v>30</v>
      </c>
      <c r="K207" s="25" t="s">
        <v>25</v>
      </c>
    </row>
    <row r="208" spans="1:11" x14ac:dyDescent="0.25">
      <c r="A208" s="23" t="s">
        <v>295</v>
      </c>
      <c r="B208" s="24">
        <v>45737</v>
      </c>
      <c r="C208" s="17" t="s">
        <v>67</v>
      </c>
      <c r="D208" s="17" t="s">
        <v>68</v>
      </c>
      <c r="E208" s="17">
        <v>600</v>
      </c>
      <c r="F208" s="17">
        <v>1</v>
      </c>
      <c r="G208" s="17">
        <v>600</v>
      </c>
      <c r="H208" s="17" t="s">
        <v>28</v>
      </c>
      <c r="I208" s="17" t="s">
        <v>49</v>
      </c>
      <c r="J208" s="17" t="s">
        <v>35</v>
      </c>
      <c r="K208" s="25" t="s">
        <v>45</v>
      </c>
    </row>
    <row r="209" spans="1:11" x14ac:dyDescent="0.25">
      <c r="A209" s="23" t="s">
        <v>296</v>
      </c>
      <c r="B209" s="24">
        <v>45690</v>
      </c>
      <c r="C209" s="17" t="s">
        <v>74</v>
      </c>
      <c r="D209" s="17" t="s">
        <v>68</v>
      </c>
      <c r="E209" s="17">
        <v>1200</v>
      </c>
      <c r="F209" s="17">
        <v>3</v>
      </c>
      <c r="G209" s="17">
        <v>3600</v>
      </c>
      <c r="H209" s="17" t="s">
        <v>28</v>
      </c>
      <c r="I209" s="17" t="s">
        <v>49</v>
      </c>
      <c r="J209" s="17" t="s">
        <v>44</v>
      </c>
      <c r="K209" s="25" t="s">
        <v>45</v>
      </c>
    </row>
    <row r="210" spans="1:11" x14ac:dyDescent="0.25">
      <c r="A210" s="23" t="s">
        <v>297</v>
      </c>
      <c r="B210" s="24">
        <v>45745</v>
      </c>
      <c r="C210" s="17" t="s">
        <v>60</v>
      </c>
      <c r="D210" s="17" t="s">
        <v>40</v>
      </c>
      <c r="E210" s="17">
        <v>40</v>
      </c>
      <c r="F210" s="17">
        <v>5</v>
      </c>
      <c r="G210" s="17">
        <v>200</v>
      </c>
      <c r="H210" s="17" t="s">
        <v>64</v>
      </c>
      <c r="I210" s="17" t="s">
        <v>34</v>
      </c>
      <c r="J210" s="17" t="s">
        <v>44</v>
      </c>
      <c r="K210" s="25" t="s">
        <v>45</v>
      </c>
    </row>
    <row r="211" spans="1:11" x14ac:dyDescent="0.25">
      <c r="A211" s="23" t="s">
        <v>298</v>
      </c>
      <c r="B211" s="24">
        <v>45739</v>
      </c>
      <c r="C211" s="17" t="s">
        <v>63</v>
      </c>
      <c r="D211" s="17" t="s">
        <v>22</v>
      </c>
      <c r="E211" s="17">
        <v>800</v>
      </c>
      <c r="F211" s="17">
        <v>3</v>
      </c>
      <c r="G211" s="17">
        <v>2400</v>
      </c>
      <c r="H211" s="17" t="s">
        <v>93</v>
      </c>
      <c r="I211" s="17" t="s">
        <v>16</v>
      </c>
      <c r="J211" s="17" t="s">
        <v>44</v>
      </c>
      <c r="K211" s="25" t="s">
        <v>45</v>
      </c>
    </row>
    <row r="212" spans="1:11" x14ac:dyDescent="0.25">
      <c r="A212" s="23" t="s">
        <v>299</v>
      </c>
      <c r="B212" s="24">
        <v>45729</v>
      </c>
      <c r="C212" s="17" t="s">
        <v>47</v>
      </c>
      <c r="D212" s="17" t="s">
        <v>22</v>
      </c>
      <c r="E212" s="17">
        <v>500</v>
      </c>
      <c r="F212" s="17">
        <v>1</v>
      </c>
      <c r="G212" s="17">
        <v>500</v>
      </c>
      <c r="H212" s="17" t="s">
        <v>57</v>
      </c>
      <c r="I212" s="17" t="s">
        <v>49</v>
      </c>
      <c r="J212" s="17" t="s">
        <v>65</v>
      </c>
      <c r="K212" s="25" t="s">
        <v>25</v>
      </c>
    </row>
    <row r="213" spans="1:11" x14ac:dyDescent="0.25">
      <c r="A213" s="23" t="s">
        <v>300</v>
      </c>
      <c r="B213" s="24">
        <v>45725</v>
      </c>
      <c r="C213" s="17" t="s">
        <v>39</v>
      </c>
      <c r="D213" s="17" t="s">
        <v>40</v>
      </c>
      <c r="E213" s="17">
        <v>20</v>
      </c>
      <c r="F213" s="17">
        <v>4</v>
      </c>
      <c r="G213" s="17">
        <v>80</v>
      </c>
      <c r="H213" s="17" t="s">
        <v>15</v>
      </c>
      <c r="I213" s="17" t="s">
        <v>43</v>
      </c>
      <c r="J213" s="17" t="s">
        <v>17</v>
      </c>
      <c r="K213" s="25" t="s">
        <v>45</v>
      </c>
    </row>
    <row r="214" spans="1:11" x14ac:dyDescent="0.25">
      <c r="A214" s="23" t="s">
        <v>301</v>
      </c>
      <c r="B214" s="24">
        <v>45694</v>
      </c>
      <c r="C214" s="17" t="s">
        <v>63</v>
      </c>
      <c r="D214" s="17" t="s">
        <v>22</v>
      </c>
      <c r="E214" s="17">
        <v>800</v>
      </c>
      <c r="F214" s="17">
        <v>1</v>
      </c>
      <c r="G214" s="17">
        <v>800</v>
      </c>
      <c r="H214" s="17" t="s">
        <v>93</v>
      </c>
      <c r="I214" s="17" t="s">
        <v>77</v>
      </c>
      <c r="J214" s="17" t="s">
        <v>30</v>
      </c>
      <c r="K214" s="25" t="s">
        <v>18</v>
      </c>
    </row>
    <row r="215" spans="1:11" x14ac:dyDescent="0.25">
      <c r="A215" s="23" t="s">
        <v>302</v>
      </c>
      <c r="B215" s="24">
        <v>45706</v>
      </c>
      <c r="C215" s="17" t="s">
        <v>37</v>
      </c>
      <c r="D215" s="17" t="s">
        <v>22</v>
      </c>
      <c r="E215" s="17">
        <v>150</v>
      </c>
      <c r="F215" s="17">
        <v>5</v>
      </c>
      <c r="G215" s="17">
        <v>750</v>
      </c>
      <c r="H215" s="17" t="s">
        <v>23</v>
      </c>
      <c r="I215" s="17" t="s">
        <v>43</v>
      </c>
      <c r="J215" s="17" t="s">
        <v>17</v>
      </c>
      <c r="K215" s="25" t="s">
        <v>45</v>
      </c>
    </row>
    <row r="216" spans="1:11" x14ac:dyDescent="0.25">
      <c r="A216" s="23" t="s">
        <v>303</v>
      </c>
      <c r="B216" s="24">
        <v>45723</v>
      </c>
      <c r="C216" s="17" t="s">
        <v>13</v>
      </c>
      <c r="D216" s="17" t="s">
        <v>14</v>
      </c>
      <c r="E216" s="17">
        <v>60</v>
      </c>
      <c r="F216" s="17">
        <v>1</v>
      </c>
      <c r="G216" s="17">
        <v>60</v>
      </c>
      <c r="H216" s="17" t="s">
        <v>15</v>
      </c>
      <c r="I216" s="17" t="s">
        <v>43</v>
      </c>
      <c r="J216" s="17" t="s">
        <v>44</v>
      </c>
      <c r="K216" s="25" t="s">
        <v>45</v>
      </c>
    </row>
    <row r="217" spans="1:11" x14ac:dyDescent="0.25">
      <c r="A217" s="23" t="s">
        <v>304</v>
      </c>
      <c r="B217" s="24">
        <v>45742</v>
      </c>
      <c r="C217" s="17" t="s">
        <v>60</v>
      </c>
      <c r="D217" s="17" t="s">
        <v>40</v>
      </c>
      <c r="E217" s="17">
        <v>40</v>
      </c>
      <c r="F217" s="17">
        <v>2</v>
      </c>
      <c r="G217" s="17">
        <v>80</v>
      </c>
      <c r="H217" s="17" t="s">
        <v>82</v>
      </c>
      <c r="I217" s="17" t="s">
        <v>94</v>
      </c>
      <c r="J217" s="17" t="s">
        <v>35</v>
      </c>
      <c r="K217" s="25" t="s">
        <v>45</v>
      </c>
    </row>
    <row r="218" spans="1:11" x14ac:dyDescent="0.25">
      <c r="A218" s="23" t="s">
        <v>305</v>
      </c>
      <c r="B218" s="24">
        <v>45735</v>
      </c>
      <c r="C218" s="17" t="s">
        <v>13</v>
      </c>
      <c r="D218" s="17" t="s">
        <v>14</v>
      </c>
      <c r="E218" s="17">
        <v>60</v>
      </c>
      <c r="F218" s="17">
        <v>2</v>
      </c>
      <c r="G218" s="17">
        <v>120</v>
      </c>
      <c r="H218" s="17" t="s">
        <v>15</v>
      </c>
      <c r="I218" s="17" t="s">
        <v>51</v>
      </c>
      <c r="J218" s="17" t="s">
        <v>65</v>
      </c>
      <c r="K218" s="25" t="s">
        <v>25</v>
      </c>
    </row>
    <row r="219" spans="1:11" x14ac:dyDescent="0.25">
      <c r="A219" s="23" t="s">
        <v>306</v>
      </c>
      <c r="B219" s="24">
        <v>45703</v>
      </c>
      <c r="C219" s="17" t="s">
        <v>21</v>
      </c>
      <c r="D219" s="17" t="s">
        <v>22</v>
      </c>
      <c r="E219" s="17">
        <v>100</v>
      </c>
      <c r="F219" s="17">
        <v>4</v>
      </c>
      <c r="G219" s="17">
        <v>400</v>
      </c>
      <c r="H219" s="17" t="s">
        <v>64</v>
      </c>
      <c r="I219" s="17" t="s">
        <v>16</v>
      </c>
      <c r="J219" s="17" t="s">
        <v>65</v>
      </c>
      <c r="K219" s="25" t="s">
        <v>18</v>
      </c>
    </row>
    <row r="220" spans="1:11" x14ac:dyDescent="0.25">
      <c r="A220" s="23" t="s">
        <v>307</v>
      </c>
      <c r="B220" s="24">
        <v>45705</v>
      </c>
      <c r="C220" s="17" t="s">
        <v>21</v>
      </c>
      <c r="D220" s="17" t="s">
        <v>22</v>
      </c>
      <c r="E220" s="17">
        <v>100</v>
      </c>
      <c r="F220" s="17">
        <v>3</v>
      </c>
      <c r="G220" s="17">
        <v>300</v>
      </c>
      <c r="H220" s="17" t="s">
        <v>57</v>
      </c>
      <c r="I220" s="17" t="s">
        <v>43</v>
      </c>
      <c r="J220" s="17" t="s">
        <v>44</v>
      </c>
      <c r="K220" s="25" t="s">
        <v>18</v>
      </c>
    </row>
    <row r="221" spans="1:11" x14ac:dyDescent="0.25">
      <c r="A221" s="23" t="s">
        <v>308</v>
      </c>
      <c r="B221" s="24">
        <v>45698</v>
      </c>
      <c r="C221" s="17" t="s">
        <v>37</v>
      </c>
      <c r="D221" s="17" t="s">
        <v>22</v>
      </c>
      <c r="E221" s="17">
        <v>150</v>
      </c>
      <c r="F221" s="17">
        <v>3</v>
      </c>
      <c r="G221" s="17">
        <v>450</v>
      </c>
      <c r="H221" s="17" t="s">
        <v>61</v>
      </c>
      <c r="I221" s="17" t="s">
        <v>29</v>
      </c>
      <c r="J221" s="17" t="s">
        <v>17</v>
      </c>
      <c r="K221" s="25" t="s">
        <v>45</v>
      </c>
    </row>
    <row r="222" spans="1:11" x14ac:dyDescent="0.25">
      <c r="A222" s="23" t="s">
        <v>309</v>
      </c>
      <c r="B222" s="24">
        <v>45716</v>
      </c>
      <c r="C222" s="17" t="s">
        <v>67</v>
      </c>
      <c r="D222" s="17" t="s">
        <v>68</v>
      </c>
      <c r="E222" s="17">
        <v>600</v>
      </c>
      <c r="F222" s="17">
        <v>2</v>
      </c>
      <c r="G222" s="17">
        <v>1200</v>
      </c>
      <c r="H222" s="17" t="s">
        <v>23</v>
      </c>
      <c r="I222" s="17" t="s">
        <v>94</v>
      </c>
      <c r="J222" s="17" t="s">
        <v>65</v>
      </c>
      <c r="K222" s="25" t="s">
        <v>18</v>
      </c>
    </row>
    <row r="223" spans="1:11" x14ac:dyDescent="0.25">
      <c r="A223" s="23" t="s">
        <v>310</v>
      </c>
      <c r="B223" s="24">
        <v>45704</v>
      </c>
      <c r="C223" s="17" t="s">
        <v>67</v>
      </c>
      <c r="D223" s="17" t="s">
        <v>68</v>
      </c>
      <c r="E223" s="17">
        <v>600</v>
      </c>
      <c r="F223" s="17">
        <v>2</v>
      </c>
      <c r="G223" s="17">
        <v>1200</v>
      </c>
      <c r="H223" s="17" t="s">
        <v>82</v>
      </c>
      <c r="I223" s="17" t="s">
        <v>71</v>
      </c>
      <c r="J223" s="17" t="s">
        <v>44</v>
      </c>
      <c r="K223" s="25" t="s">
        <v>18</v>
      </c>
    </row>
    <row r="224" spans="1:11" x14ac:dyDescent="0.25">
      <c r="A224" s="23" t="s">
        <v>311</v>
      </c>
      <c r="B224" s="24">
        <v>45740</v>
      </c>
      <c r="C224" s="17" t="s">
        <v>60</v>
      </c>
      <c r="D224" s="17" t="s">
        <v>40</v>
      </c>
      <c r="E224" s="17">
        <v>40</v>
      </c>
      <c r="F224" s="17">
        <v>2</v>
      </c>
      <c r="G224" s="17">
        <v>80</v>
      </c>
      <c r="H224" s="17" t="s">
        <v>57</v>
      </c>
      <c r="I224" s="17" t="s">
        <v>29</v>
      </c>
      <c r="J224" s="17" t="s">
        <v>30</v>
      </c>
      <c r="K224" s="25" t="s">
        <v>18</v>
      </c>
    </row>
    <row r="225" spans="1:11" x14ac:dyDescent="0.25">
      <c r="A225" s="23" t="s">
        <v>312</v>
      </c>
      <c r="B225" s="24">
        <v>45734</v>
      </c>
      <c r="C225" s="17" t="s">
        <v>74</v>
      </c>
      <c r="D225" s="17" t="s">
        <v>68</v>
      </c>
      <c r="E225" s="17">
        <v>1200</v>
      </c>
      <c r="F225" s="17">
        <v>1</v>
      </c>
      <c r="G225" s="17">
        <v>1200</v>
      </c>
      <c r="H225" s="17" t="s">
        <v>93</v>
      </c>
      <c r="I225" s="17" t="s">
        <v>49</v>
      </c>
      <c r="J225" s="17" t="s">
        <v>44</v>
      </c>
      <c r="K225" s="25" t="s">
        <v>45</v>
      </c>
    </row>
    <row r="226" spans="1:11" x14ac:dyDescent="0.25">
      <c r="A226" s="23" t="s">
        <v>313</v>
      </c>
      <c r="B226" s="24">
        <v>45727</v>
      </c>
      <c r="C226" s="17" t="s">
        <v>60</v>
      </c>
      <c r="D226" s="17" t="s">
        <v>40</v>
      </c>
      <c r="E226" s="17">
        <v>40</v>
      </c>
      <c r="F226" s="17">
        <v>1</v>
      </c>
      <c r="G226" s="17">
        <v>40</v>
      </c>
      <c r="H226" s="17" t="s">
        <v>48</v>
      </c>
      <c r="I226" s="17" t="s">
        <v>16</v>
      </c>
      <c r="J226" s="17" t="s">
        <v>65</v>
      </c>
      <c r="K226" s="25" t="s">
        <v>18</v>
      </c>
    </row>
    <row r="227" spans="1:11" x14ac:dyDescent="0.25">
      <c r="A227" s="23" t="s">
        <v>314</v>
      </c>
      <c r="B227" s="24">
        <v>45721</v>
      </c>
      <c r="C227" s="17" t="s">
        <v>13</v>
      </c>
      <c r="D227" s="17" t="s">
        <v>14</v>
      </c>
      <c r="E227" s="17">
        <v>60</v>
      </c>
      <c r="F227" s="17">
        <v>4</v>
      </c>
      <c r="G227" s="17">
        <v>240</v>
      </c>
      <c r="H227" s="17" t="s">
        <v>82</v>
      </c>
      <c r="I227" s="17" t="s">
        <v>94</v>
      </c>
      <c r="J227" s="17" t="s">
        <v>30</v>
      </c>
      <c r="K227" s="25" t="s">
        <v>45</v>
      </c>
    </row>
    <row r="228" spans="1:11" x14ac:dyDescent="0.25">
      <c r="A228" s="23" t="s">
        <v>315</v>
      </c>
      <c r="B228" s="24">
        <v>45749</v>
      </c>
      <c r="C228" s="17" t="s">
        <v>21</v>
      </c>
      <c r="D228" s="17" t="s">
        <v>22</v>
      </c>
      <c r="E228" s="17">
        <v>100</v>
      </c>
      <c r="F228" s="17">
        <v>5</v>
      </c>
      <c r="G228" s="17">
        <v>500</v>
      </c>
      <c r="H228" s="17" t="s">
        <v>15</v>
      </c>
      <c r="I228" s="17" t="s">
        <v>49</v>
      </c>
      <c r="J228" s="17" t="s">
        <v>30</v>
      </c>
      <c r="K228" s="25" t="s">
        <v>18</v>
      </c>
    </row>
    <row r="229" spans="1:11" x14ac:dyDescent="0.25">
      <c r="A229" s="23" t="s">
        <v>316</v>
      </c>
      <c r="B229" s="24">
        <v>45700</v>
      </c>
      <c r="C229" s="17" t="s">
        <v>13</v>
      </c>
      <c r="D229" s="17" t="s">
        <v>14</v>
      </c>
      <c r="E229" s="17">
        <v>60</v>
      </c>
      <c r="F229" s="17">
        <v>1</v>
      </c>
      <c r="G229" s="17">
        <v>60</v>
      </c>
      <c r="H229" s="17" t="s">
        <v>57</v>
      </c>
      <c r="I229" s="17" t="s">
        <v>24</v>
      </c>
      <c r="J229" s="17" t="s">
        <v>35</v>
      </c>
      <c r="K229" s="25" t="s">
        <v>25</v>
      </c>
    </row>
    <row r="230" spans="1:11" x14ac:dyDescent="0.25">
      <c r="A230" s="23" t="s">
        <v>317</v>
      </c>
      <c r="B230" s="24">
        <v>45737</v>
      </c>
      <c r="C230" s="17" t="s">
        <v>13</v>
      </c>
      <c r="D230" s="17" t="s">
        <v>14</v>
      </c>
      <c r="E230" s="17">
        <v>60</v>
      </c>
      <c r="F230" s="17">
        <v>3</v>
      </c>
      <c r="G230" s="17">
        <v>180</v>
      </c>
      <c r="H230" s="17" t="s">
        <v>15</v>
      </c>
      <c r="I230" s="17" t="s">
        <v>24</v>
      </c>
      <c r="J230" s="17" t="s">
        <v>35</v>
      </c>
      <c r="K230" s="25" t="s">
        <v>25</v>
      </c>
    </row>
    <row r="231" spans="1:11" x14ac:dyDescent="0.25">
      <c r="A231" s="23" t="s">
        <v>318</v>
      </c>
      <c r="B231" s="24">
        <v>45747</v>
      </c>
      <c r="C231" s="17" t="s">
        <v>21</v>
      </c>
      <c r="D231" s="17" t="s">
        <v>22</v>
      </c>
      <c r="E231" s="17">
        <v>100</v>
      </c>
      <c r="F231" s="17">
        <v>4</v>
      </c>
      <c r="G231" s="17">
        <v>400</v>
      </c>
      <c r="H231" s="17" t="s">
        <v>93</v>
      </c>
      <c r="I231" s="17" t="s">
        <v>24</v>
      </c>
      <c r="J231" s="17" t="s">
        <v>30</v>
      </c>
      <c r="K231" s="25" t="s">
        <v>25</v>
      </c>
    </row>
    <row r="232" spans="1:11" x14ac:dyDescent="0.25">
      <c r="A232" s="23" t="s">
        <v>319</v>
      </c>
      <c r="B232" s="24">
        <v>45704</v>
      </c>
      <c r="C232" s="17" t="s">
        <v>63</v>
      </c>
      <c r="D232" s="17" t="s">
        <v>22</v>
      </c>
      <c r="E232" s="17">
        <v>800</v>
      </c>
      <c r="F232" s="17">
        <v>5</v>
      </c>
      <c r="G232" s="17">
        <v>4000</v>
      </c>
      <c r="H232" s="17" t="s">
        <v>93</v>
      </c>
      <c r="I232" s="17" t="s">
        <v>51</v>
      </c>
      <c r="J232" s="17" t="s">
        <v>35</v>
      </c>
      <c r="K232" s="25" t="s">
        <v>18</v>
      </c>
    </row>
    <row r="233" spans="1:11" x14ac:dyDescent="0.25">
      <c r="A233" s="23" t="s">
        <v>320</v>
      </c>
      <c r="B233" s="24">
        <v>45730</v>
      </c>
      <c r="C233" s="17" t="s">
        <v>74</v>
      </c>
      <c r="D233" s="17" t="s">
        <v>68</v>
      </c>
      <c r="E233" s="17">
        <v>1200</v>
      </c>
      <c r="F233" s="17">
        <v>3</v>
      </c>
      <c r="G233" s="17">
        <v>3600</v>
      </c>
      <c r="H233" s="17" t="s">
        <v>15</v>
      </c>
      <c r="I233" s="17" t="s">
        <v>77</v>
      </c>
      <c r="J233" s="17" t="s">
        <v>35</v>
      </c>
      <c r="K233" s="25" t="s">
        <v>45</v>
      </c>
    </row>
    <row r="234" spans="1:11" x14ac:dyDescent="0.25">
      <c r="A234" s="23" t="s">
        <v>321</v>
      </c>
      <c r="B234" s="24">
        <v>45708</v>
      </c>
      <c r="C234" s="17" t="s">
        <v>13</v>
      </c>
      <c r="D234" s="17" t="s">
        <v>14</v>
      </c>
      <c r="E234" s="17">
        <v>60</v>
      </c>
      <c r="F234" s="17">
        <v>1</v>
      </c>
      <c r="G234" s="17">
        <v>60</v>
      </c>
      <c r="H234" s="17" t="s">
        <v>57</v>
      </c>
      <c r="I234" s="17" t="s">
        <v>51</v>
      </c>
      <c r="J234" s="17" t="s">
        <v>44</v>
      </c>
      <c r="K234" s="25" t="s">
        <v>18</v>
      </c>
    </row>
    <row r="235" spans="1:11" x14ac:dyDescent="0.25">
      <c r="A235" s="23" t="s">
        <v>322</v>
      </c>
      <c r="B235" s="24">
        <v>45724</v>
      </c>
      <c r="C235" s="17" t="s">
        <v>55</v>
      </c>
      <c r="D235" s="17" t="s">
        <v>56</v>
      </c>
      <c r="E235" s="17">
        <v>15</v>
      </c>
      <c r="F235" s="17">
        <v>1</v>
      </c>
      <c r="G235" s="17">
        <v>15</v>
      </c>
      <c r="H235" s="17" t="s">
        <v>93</v>
      </c>
      <c r="I235" s="17" t="s">
        <v>49</v>
      </c>
      <c r="J235" s="17" t="s">
        <v>30</v>
      </c>
      <c r="K235" s="25" t="s">
        <v>18</v>
      </c>
    </row>
    <row r="236" spans="1:11" x14ac:dyDescent="0.25">
      <c r="A236" s="23" t="s">
        <v>323</v>
      </c>
      <c r="B236" s="24">
        <v>45739</v>
      </c>
      <c r="C236" s="17" t="s">
        <v>74</v>
      </c>
      <c r="D236" s="17" t="s">
        <v>68</v>
      </c>
      <c r="E236" s="17">
        <v>1200</v>
      </c>
      <c r="F236" s="17">
        <v>1</v>
      </c>
      <c r="G236" s="17">
        <v>1200</v>
      </c>
      <c r="H236" s="17" t="s">
        <v>64</v>
      </c>
      <c r="I236" s="17" t="s">
        <v>34</v>
      </c>
      <c r="J236" s="17" t="s">
        <v>44</v>
      </c>
      <c r="K236" s="25" t="s">
        <v>45</v>
      </c>
    </row>
    <row r="237" spans="1:11" x14ac:dyDescent="0.25">
      <c r="A237" s="23" t="s">
        <v>324</v>
      </c>
      <c r="B237" s="24">
        <v>45721</v>
      </c>
      <c r="C237" s="17" t="s">
        <v>47</v>
      </c>
      <c r="D237" s="17" t="s">
        <v>22</v>
      </c>
      <c r="E237" s="17">
        <v>500</v>
      </c>
      <c r="F237" s="17">
        <v>5</v>
      </c>
      <c r="G237" s="17">
        <v>2500</v>
      </c>
      <c r="H237" s="17" t="s">
        <v>28</v>
      </c>
      <c r="I237" s="17" t="s">
        <v>51</v>
      </c>
      <c r="J237" s="17" t="s">
        <v>44</v>
      </c>
      <c r="K237" s="25" t="s">
        <v>45</v>
      </c>
    </row>
    <row r="238" spans="1:11" x14ac:dyDescent="0.25">
      <c r="A238" s="23" t="s">
        <v>325</v>
      </c>
      <c r="B238" s="24">
        <v>45699</v>
      </c>
      <c r="C238" s="17" t="s">
        <v>21</v>
      </c>
      <c r="D238" s="17" t="s">
        <v>22</v>
      </c>
      <c r="E238" s="17">
        <v>100</v>
      </c>
      <c r="F238" s="17">
        <v>3</v>
      </c>
      <c r="G238" s="17">
        <v>300</v>
      </c>
      <c r="H238" s="17" t="s">
        <v>61</v>
      </c>
      <c r="I238" s="17" t="s">
        <v>43</v>
      </c>
      <c r="J238" s="17" t="s">
        <v>17</v>
      </c>
      <c r="K238" s="25" t="s">
        <v>18</v>
      </c>
    </row>
    <row r="239" spans="1:11" x14ac:dyDescent="0.25">
      <c r="A239" s="23" t="s">
        <v>326</v>
      </c>
      <c r="B239" s="24">
        <v>45732</v>
      </c>
      <c r="C239" s="17" t="s">
        <v>21</v>
      </c>
      <c r="D239" s="17" t="s">
        <v>22</v>
      </c>
      <c r="E239" s="17">
        <v>100</v>
      </c>
      <c r="F239" s="17">
        <v>1</v>
      </c>
      <c r="G239" s="17">
        <v>100</v>
      </c>
      <c r="H239" s="17" t="s">
        <v>33</v>
      </c>
      <c r="I239" s="17" t="s">
        <v>29</v>
      </c>
      <c r="J239" s="17" t="s">
        <v>44</v>
      </c>
      <c r="K239" s="25" t="s">
        <v>45</v>
      </c>
    </row>
    <row r="240" spans="1:11" x14ac:dyDescent="0.25">
      <c r="A240" s="23" t="s">
        <v>327</v>
      </c>
      <c r="B240" s="24">
        <v>45738</v>
      </c>
      <c r="C240" s="17" t="s">
        <v>37</v>
      </c>
      <c r="D240" s="17" t="s">
        <v>22</v>
      </c>
      <c r="E240" s="17">
        <v>150</v>
      </c>
      <c r="F240" s="17">
        <v>5</v>
      </c>
      <c r="G240" s="17">
        <v>750</v>
      </c>
      <c r="H240" s="17" t="s">
        <v>64</v>
      </c>
      <c r="I240" s="17" t="s">
        <v>43</v>
      </c>
      <c r="J240" s="17" t="s">
        <v>30</v>
      </c>
      <c r="K240" s="25" t="s">
        <v>45</v>
      </c>
    </row>
    <row r="241" spans="1:11" x14ac:dyDescent="0.25">
      <c r="A241" s="23" t="s">
        <v>328</v>
      </c>
      <c r="B241" s="24">
        <v>45697</v>
      </c>
      <c r="C241" s="17" t="s">
        <v>37</v>
      </c>
      <c r="D241" s="17" t="s">
        <v>22</v>
      </c>
      <c r="E241" s="17">
        <v>150</v>
      </c>
      <c r="F241" s="17">
        <v>1</v>
      </c>
      <c r="G241" s="17">
        <v>150</v>
      </c>
      <c r="H241" s="17" t="s">
        <v>28</v>
      </c>
      <c r="I241" s="17" t="s">
        <v>29</v>
      </c>
      <c r="J241" s="17" t="s">
        <v>65</v>
      </c>
      <c r="K241" s="25" t="s">
        <v>25</v>
      </c>
    </row>
    <row r="242" spans="1:11" x14ac:dyDescent="0.25">
      <c r="A242" s="23" t="s">
        <v>329</v>
      </c>
      <c r="B242" s="24">
        <v>45746</v>
      </c>
      <c r="C242" s="17" t="s">
        <v>47</v>
      </c>
      <c r="D242" s="17" t="s">
        <v>22</v>
      </c>
      <c r="E242" s="17">
        <v>500</v>
      </c>
      <c r="F242" s="17">
        <v>4</v>
      </c>
      <c r="G242" s="17">
        <v>2000</v>
      </c>
      <c r="H242" s="17" t="s">
        <v>33</v>
      </c>
      <c r="I242" s="17" t="s">
        <v>16</v>
      </c>
      <c r="J242" s="17" t="s">
        <v>35</v>
      </c>
      <c r="K242" s="25" t="s">
        <v>25</v>
      </c>
    </row>
    <row r="243" spans="1:11" x14ac:dyDescent="0.25">
      <c r="A243" s="23" t="s">
        <v>330</v>
      </c>
      <c r="B243" s="24">
        <v>45724</v>
      </c>
      <c r="C243" s="17" t="s">
        <v>47</v>
      </c>
      <c r="D243" s="17" t="s">
        <v>22</v>
      </c>
      <c r="E243" s="17">
        <v>500</v>
      </c>
      <c r="F243" s="17">
        <v>4</v>
      </c>
      <c r="G243" s="17">
        <v>2000</v>
      </c>
      <c r="H243" s="17" t="s">
        <v>82</v>
      </c>
      <c r="I243" s="17" t="s">
        <v>51</v>
      </c>
      <c r="J243" s="17" t="s">
        <v>65</v>
      </c>
      <c r="K243" s="25" t="s">
        <v>25</v>
      </c>
    </row>
    <row r="244" spans="1:11" x14ac:dyDescent="0.25">
      <c r="A244" s="23" t="s">
        <v>331</v>
      </c>
      <c r="B244" s="24">
        <v>45721</v>
      </c>
      <c r="C244" s="17" t="s">
        <v>13</v>
      </c>
      <c r="D244" s="17" t="s">
        <v>14</v>
      </c>
      <c r="E244" s="17">
        <v>60</v>
      </c>
      <c r="F244" s="17">
        <v>2</v>
      </c>
      <c r="G244" s="17">
        <v>120</v>
      </c>
      <c r="H244" s="17" t="s">
        <v>82</v>
      </c>
      <c r="I244" s="17" t="s">
        <v>43</v>
      </c>
      <c r="J244" s="17" t="s">
        <v>30</v>
      </c>
      <c r="K244" s="25" t="s">
        <v>45</v>
      </c>
    </row>
    <row r="245" spans="1:11" x14ac:dyDescent="0.25">
      <c r="A245" s="23" t="s">
        <v>332</v>
      </c>
      <c r="B245" s="24">
        <v>45694</v>
      </c>
      <c r="C245" s="17" t="s">
        <v>47</v>
      </c>
      <c r="D245" s="17" t="s">
        <v>22</v>
      </c>
      <c r="E245" s="17">
        <v>500</v>
      </c>
      <c r="F245" s="17">
        <v>4</v>
      </c>
      <c r="G245" s="17">
        <v>2000</v>
      </c>
      <c r="H245" s="17" t="s">
        <v>15</v>
      </c>
      <c r="I245" s="17" t="s">
        <v>43</v>
      </c>
      <c r="J245" s="17" t="s">
        <v>35</v>
      </c>
      <c r="K245" s="25" t="s">
        <v>45</v>
      </c>
    </row>
    <row r="246" spans="1:11" x14ac:dyDescent="0.25">
      <c r="A246" s="23" t="s">
        <v>333</v>
      </c>
      <c r="B246" s="24">
        <v>45692</v>
      </c>
      <c r="C246" s="17" t="s">
        <v>63</v>
      </c>
      <c r="D246" s="17" t="s">
        <v>22</v>
      </c>
      <c r="E246" s="17">
        <v>800</v>
      </c>
      <c r="F246" s="17">
        <v>1</v>
      </c>
      <c r="G246" s="17">
        <v>800</v>
      </c>
      <c r="H246" s="17" t="s">
        <v>61</v>
      </c>
      <c r="I246" s="17" t="s">
        <v>77</v>
      </c>
      <c r="J246" s="17" t="s">
        <v>35</v>
      </c>
      <c r="K246" s="25" t="s">
        <v>18</v>
      </c>
    </row>
    <row r="247" spans="1:11" x14ac:dyDescent="0.25">
      <c r="A247" s="23" t="s">
        <v>334</v>
      </c>
      <c r="B247" s="24">
        <v>45733</v>
      </c>
      <c r="C247" s="17" t="s">
        <v>39</v>
      </c>
      <c r="D247" s="17" t="s">
        <v>40</v>
      </c>
      <c r="E247" s="17">
        <v>20</v>
      </c>
      <c r="F247" s="17">
        <v>2</v>
      </c>
      <c r="G247" s="17">
        <v>40</v>
      </c>
      <c r="H247" s="17" t="s">
        <v>64</v>
      </c>
      <c r="I247" s="17" t="s">
        <v>49</v>
      </c>
      <c r="J247" s="17" t="s">
        <v>17</v>
      </c>
      <c r="K247" s="25" t="s">
        <v>18</v>
      </c>
    </row>
    <row r="248" spans="1:11" x14ac:dyDescent="0.25">
      <c r="A248" s="23" t="s">
        <v>335</v>
      </c>
      <c r="B248" s="24">
        <v>45746</v>
      </c>
      <c r="C248" s="17" t="s">
        <v>60</v>
      </c>
      <c r="D248" s="17" t="s">
        <v>40</v>
      </c>
      <c r="E248" s="17">
        <v>40</v>
      </c>
      <c r="F248" s="17">
        <v>1</v>
      </c>
      <c r="G248" s="17">
        <v>40</v>
      </c>
      <c r="H248" s="17" t="s">
        <v>48</v>
      </c>
      <c r="I248" s="17" t="s">
        <v>34</v>
      </c>
      <c r="J248" s="17" t="s">
        <v>17</v>
      </c>
      <c r="K248" s="25" t="s">
        <v>18</v>
      </c>
    </row>
    <row r="249" spans="1:11" x14ac:dyDescent="0.25">
      <c r="A249" s="23" t="s">
        <v>336</v>
      </c>
      <c r="B249" s="24">
        <v>45721</v>
      </c>
      <c r="C249" s="17" t="s">
        <v>39</v>
      </c>
      <c r="D249" s="17" t="s">
        <v>40</v>
      </c>
      <c r="E249" s="17">
        <v>20</v>
      </c>
      <c r="F249" s="17">
        <v>2</v>
      </c>
      <c r="G249" s="17">
        <v>40</v>
      </c>
      <c r="H249" s="17" t="s">
        <v>82</v>
      </c>
      <c r="I249" s="17" t="s">
        <v>29</v>
      </c>
      <c r="J249" s="17" t="s">
        <v>17</v>
      </c>
      <c r="K249" s="25" t="s">
        <v>18</v>
      </c>
    </row>
    <row r="250" spans="1:11" x14ac:dyDescent="0.25">
      <c r="A250" s="23" t="s">
        <v>337</v>
      </c>
      <c r="B250" s="24">
        <v>45724</v>
      </c>
      <c r="C250" s="17" t="s">
        <v>37</v>
      </c>
      <c r="D250" s="17" t="s">
        <v>22</v>
      </c>
      <c r="E250" s="17">
        <v>150</v>
      </c>
      <c r="F250" s="17">
        <v>3</v>
      </c>
      <c r="G250" s="17">
        <v>450</v>
      </c>
      <c r="H250" s="17" t="s">
        <v>23</v>
      </c>
      <c r="I250" s="17" t="s">
        <v>16</v>
      </c>
      <c r="J250" s="17" t="s">
        <v>17</v>
      </c>
      <c r="K250" s="25" t="s">
        <v>18</v>
      </c>
    </row>
    <row r="251" spans="1:11" x14ac:dyDescent="0.25">
      <c r="A251" s="26" t="s">
        <v>338</v>
      </c>
      <c r="B251" s="27">
        <v>45707</v>
      </c>
      <c r="C251" s="28" t="s">
        <v>47</v>
      </c>
      <c r="D251" s="28" t="s">
        <v>22</v>
      </c>
      <c r="E251" s="28">
        <v>500</v>
      </c>
      <c r="F251" s="28">
        <v>4</v>
      </c>
      <c r="G251" s="28">
        <v>2000</v>
      </c>
      <c r="H251" s="28" t="s">
        <v>23</v>
      </c>
      <c r="I251" s="28" t="s">
        <v>71</v>
      </c>
      <c r="J251" s="28" t="s">
        <v>30</v>
      </c>
      <c r="K251" s="29" t="s">
        <v>45</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251"/>
  <sheetViews>
    <sheetView workbookViewId="0">
      <selection activeCell="H25" sqref="H25"/>
    </sheetView>
  </sheetViews>
  <sheetFormatPr defaultColWidth="12.6640625" defaultRowHeight="15.75" customHeight="1" x14ac:dyDescent="0.25"/>
  <cols>
    <col min="1" max="1" width="11" customWidth="1"/>
    <col min="2" max="2" width="12.33203125" style="2" customWidth="1"/>
    <col min="3" max="3" width="15.77734375" bestFit="1" customWidth="1"/>
    <col min="4" max="4" width="15.21875" bestFit="1" customWidth="1"/>
    <col min="5" max="7" width="12.6640625" style="1"/>
    <col min="8" max="8" width="16.88671875" bestFit="1" customWidth="1"/>
    <col min="9" max="9" width="19.6640625" bestFit="1" customWidth="1"/>
    <col min="10" max="10" width="17.6640625" bestFit="1" customWidth="1"/>
    <col min="12" max="12" width="12.6640625" customWidth="1"/>
    <col min="13" max="13" width="12.44140625" customWidth="1"/>
  </cols>
  <sheetData>
    <row r="1" spans="1:15" x14ac:dyDescent="0.25">
      <c r="A1" s="10" t="s">
        <v>0</v>
      </c>
      <c r="B1" s="11" t="s">
        <v>1</v>
      </c>
      <c r="C1" s="10" t="s">
        <v>2</v>
      </c>
      <c r="D1" s="10" t="s">
        <v>3</v>
      </c>
      <c r="E1" s="12" t="s">
        <v>4</v>
      </c>
      <c r="F1" s="12" t="s">
        <v>5</v>
      </c>
      <c r="G1" s="12" t="s">
        <v>6</v>
      </c>
      <c r="H1" s="10" t="s">
        <v>7</v>
      </c>
      <c r="I1" s="10" t="s">
        <v>8</v>
      </c>
      <c r="J1" s="10" t="s">
        <v>9</v>
      </c>
      <c r="K1" s="10" t="s">
        <v>10</v>
      </c>
      <c r="L1" s="10" t="s">
        <v>339</v>
      </c>
      <c r="M1" s="10" t="s">
        <v>340</v>
      </c>
      <c r="N1" s="10" t="s">
        <v>341</v>
      </c>
    </row>
    <row r="2" spans="1:15" x14ac:dyDescent="0.25">
      <c r="A2" s="13" t="s">
        <v>11</v>
      </c>
      <c r="B2" s="14" t="s">
        <v>12</v>
      </c>
      <c r="C2" s="13" t="s">
        <v>13</v>
      </c>
      <c r="D2" s="13" t="s">
        <v>14</v>
      </c>
      <c r="E2" s="15">
        <v>60</v>
      </c>
      <c r="F2" s="15">
        <v>3</v>
      </c>
      <c r="G2" s="15">
        <v>180</v>
      </c>
      <c r="H2" s="13" t="s">
        <v>15</v>
      </c>
      <c r="I2" s="13" t="s">
        <v>16</v>
      </c>
      <c r="J2" s="13" t="s">
        <v>17</v>
      </c>
      <c r="K2" s="13" t="s">
        <v>18</v>
      </c>
      <c r="L2" s="16" t="str">
        <f>TEXT(B2,"MMM")</f>
        <v>Mar</v>
      </c>
      <c r="M2" s="17" t="str">
        <f>TEXT(B2,"DDD")</f>
        <v>Fri</v>
      </c>
      <c r="N2" s="17" t="str">
        <f>IF(G2=E2*F2,"Correct","Error")</f>
        <v>Correct</v>
      </c>
    </row>
    <row r="3" spans="1:15" x14ac:dyDescent="0.25">
      <c r="A3" s="13" t="s">
        <v>19</v>
      </c>
      <c r="B3" s="14" t="s">
        <v>20</v>
      </c>
      <c r="C3" s="13" t="s">
        <v>21</v>
      </c>
      <c r="D3" s="13" t="s">
        <v>22</v>
      </c>
      <c r="E3" s="15">
        <v>100</v>
      </c>
      <c r="F3" s="15">
        <v>4</v>
      </c>
      <c r="G3" s="15">
        <v>400</v>
      </c>
      <c r="H3" s="13" t="s">
        <v>23</v>
      </c>
      <c r="I3" s="13" t="s">
        <v>24</v>
      </c>
      <c r="J3" s="13" t="s">
        <v>17</v>
      </c>
      <c r="K3" s="13" t="s">
        <v>25</v>
      </c>
      <c r="L3" s="16" t="str">
        <f t="shared" ref="L3:L66" si="0">TEXT(B3,"MMM")</f>
        <v>Mar</v>
      </c>
      <c r="M3" s="17" t="str">
        <f t="shared" ref="M3:M66" si="1">TEXT(B3,"DDD")</f>
        <v>Thu</v>
      </c>
      <c r="N3" s="17" t="str">
        <f t="shared" ref="N3:N66" si="2">IF(G3=E3*F3,"Correct","Error")</f>
        <v>Correct</v>
      </c>
    </row>
    <row r="4" spans="1:15" x14ac:dyDescent="0.25">
      <c r="A4" s="13" t="s">
        <v>26</v>
      </c>
      <c r="B4" s="14" t="s">
        <v>27</v>
      </c>
      <c r="C4" s="13" t="s">
        <v>13</v>
      </c>
      <c r="D4" s="13" t="s">
        <v>14</v>
      </c>
      <c r="E4" s="15">
        <v>60</v>
      </c>
      <c r="F4" s="15">
        <v>2</v>
      </c>
      <c r="G4" s="15">
        <v>120</v>
      </c>
      <c r="H4" s="13" t="s">
        <v>28</v>
      </c>
      <c r="I4" s="13" t="s">
        <v>29</v>
      </c>
      <c r="J4" s="13" t="s">
        <v>30</v>
      </c>
      <c r="K4" s="13" t="s">
        <v>18</v>
      </c>
      <c r="L4" s="16" t="str">
        <f t="shared" si="0"/>
        <v>Feb</v>
      </c>
      <c r="M4" s="17" t="str">
        <f t="shared" si="1"/>
        <v>Sat</v>
      </c>
      <c r="N4" s="17" t="str">
        <f t="shared" si="2"/>
        <v>Correct</v>
      </c>
      <c r="O4" s="1"/>
    </row>
    <row r="5" spans="1:15" x14ac:dyDescent="0.25">
      <c r="A5" s="13" t="s">
        <v>31</v>
      </c>
      <c r="B5" s="14" t="s">
        <v>32</v>
      </c>
      <c r="C5" s="13" t="s">
        <v>13</v>
      </c>
      <c r="D5" s="13" t="s">
        <v>14</v>
      </c>
      <c r="E5" s="15">
        <v>60</v>
      </c>
      <c r="F5" s="15">
        <v>3</v>
      </c>
      <c r="G5" s="15">
        <v>180</v>
      </c>
      <c r="H5" s="13" t="s">
        <v>33</v>
      </c>
      <c r="I5" s="13" t="s">
        <v>34</v>
      </c>
      <c r="J5" s="13" t="s">
        <v>35</v>
      </c>
      <c r="K5" s="13" t="s">
        <v>25</v>
      </c>
      <c r="L5" s="16" t="str">
        <f t="shared" si="0"/>
        <v>Feb</v>
      </c>
      <c r="M5" s="17" t="str">
        <f t="shared" si="1"/>
        <v>Wed</v>
      </c>
      <c r="N5" s="17" t="str">
        <f t="shared" si="2"/>
        <v>Correct</v>
      </c>
    </row>
    <row r="6" spans="1:15" x14ac:dyDescent="0.25">
      <c r="A6" s="13" t="s">
        <v>36</v>
      </c>
      <c r="B6" s="14">
        <v>45933</v>
      </c>
      <c r="C6" s="13" t="s">
        <v>37</v>
      </c>
      <c r="D6" s="13" t="s">
        <v>22</v>
      </c>
      <c r="E6" s="15">
        <v>150</v>
      </c>
      <c r="F6" s="15">
        <v>3</v>
      </c>
      <c r="G6" s="15">
        <v>450</v>
      </c>
      <c r="H6" s="13" t="s">
        <v>15</v>
      </c>
      <c r="I6" s="13" t="s">
        <v>16</v>
      </c>
      <c r="J6" s="13" t="s">
        <v>17</v>
      </c>
      <c r="K6" s="13" t="s">
        <v>25</v>
      </c>
      <c r="L6" s="16" t="str">
        <f t="shared" si="0"/>
        <v>Oct</v>
      </c>
      <c r="M6" s="17" t="str">
        <f t="shared" si="1"/>
        <v>Fri</v>
      </c>
      <c r="N6" s="17" t="str">
        <f t="shared" si="2"/>
        <v>Correct</v>
      </c>
    </row>
    <row r="7" spans="1:15" x14ac:dyDescent="0.25">
      <c r="A7" s="13" t="s">
        <v>38</v>
      </c>
      <c r="B7" s="14" t="s">
        <v>12</v>
      </c>
      <c r="C7" s="13" t="s">
        <v>39</v>
      </c>
      <c r="D7" s="13" t="s">
        <v>40</v>
      </c>
      <c r="E7" s="15">
        <v>20</v>
      </c>
      <c r="F7" s="15">
        <v>1</v>
      </c>
      <c r="G7" s="15">
        <v>20</v>
      </c>
      <c r="H7" s="13" t="s">
        <v>28</v>
      </c>
      <c r="I7" s="13" t="s">
        <v>34</v>
      </c>
      <c r="J7" s="13" t="s">
        <v>35</v>
      </c>
      <c r="K7" s="13" t="s">
        <v>25</v>
      </c>
      <c r="L7" s="16" t="str">
        <f t="shared" si="0"/>
        <v>Mar</v>
      </c>
      <c r="M7" s="17" t="str">
        <f t="shared" si="1"/>
        <v>Fri</v>
      </c>
      <c r="N7" s="17" t="str">
        <f t="shared" si="2"/>
        <v>Correct</v>
      </c>
    </row>
    <row r="8" spans="1:15" x14ac:dyDescent="0.25">
      <c r="A8" s="13" t="s">
        <v>41</v>
      </c>
      <c r="B8" s="14" t="s">
        <v>42</v>
      </c>
      <c r="C8" s="13" t="s">
        <v>37</v>
      </c>
      <c r="D8" s="13" t="s">
        <v>22</v>
      </c>
      <c r="E8" s="15">
        <v>150</v>
      </c>
      <c r="F8" s="15">
        <v>4</v>
      </c>
      <c r="G8" s="15">
        <v>600</v>
      </c>
      <c r="H8" s="13" t="s">
        <v>15</v>
      </c>
      <c r="I8" s="13" t="s">
        <v>43</v>
      </c>
      <c r="J8" s="13" t="s">
        <v>44</v>
      </c>
      <c r="K8" s="13" t="s">
        <v>45</v>
      </c>
      <c r="L8" s="16" t="str">
        <f t="shared" si="0"/>
        <v>Mar</v>
      </c>
      <c r="M8" s="17" t="str">
        <f t="shared" si="1"/>
        <v>Tue</v>
      </c>
      <c r="N8" s="17" t="str">
        <f t="shared" si="2"/>
        <v>Correct</v>
      </c>
    </row>
    <row r="9" spans="1:15" x14ac:dyDescent="0.25">
      <c r="A9" s="13" t="s">
        <v>46</v>
      </c>
      <c r="B9" s="14">
        <v>45691</v>
      </c>
      <c r="C9" s="13" t="s">
        <v>47</v>
      </c>
      <c r="D9" s="13" t="s">
        <v>22</v>
      </c>
      <c r="E9" s="15">
        <v>500</v>
      </c>
      <c r="F9" s="15">
        <v>1</v>
      </c>
      <c r="G9" s="15">
        <v>500</v>
      </c>
      <c r="H9" s="13" t="s">
        <v>48</v>
      </c>
      <c r="I9" s="13" t="s">
        <v>49</v>
      </c>
      <c r="J9" s="13" t="s">
        <v>44</v>
      </c>
      <c r="K9" s="13" t="s">
        <v>45</v>
      </c>
      <c r="L9" s="16" t="str">
        <f t="shared" si="0"/>
        <v>Feb</v>
      </c>
      <c r="M9" s="17" t="str">
        <f t="shared" si="1"/>
        <v>Mon</v>
      </c>
      <c r="N9" s="17" t="str">
        <f t="shared" si="2"/>
        <v>Correct</v>
      </c>
    </row>
    <row r="10" spans="1:15" x14ac:dyDescent="0.25">
      <c r="A10" s="13" t="s">
        <v>50</v>
      </c>
      <c r="B10" s="14">
        <v>45872</v>
      </c>
      <c r="C10" s="13" t="s">
        <v>39</v>
      </c>
      <c r="D10" s="13" t="s">
        <v>40</v>
      </c>
      <c r="E10" s="15">
        <v>20</v>
      </c>
      <c r="F10" s="15">
        <v>3</v>
      </c>
      <c r="G10" s="15">
        <v>60</v>
      </c>
      <c r="H10" s="13" t="s">
        <v>48</v>
      </c>
      <c r="I10" s="13" t="s">
        <v>51</v>
      </c>
      <c r="J10" s="13" t="s">
        <v>44</v>
      </c>
      <c r="K10" s="13" t="s">
        <v>45</v>
      </c>
      <c r="L10" s="16" t="str">
        <f t="shared" si="0"/>
        <v>Aug</v>
      </c>
      <c r="M10" s="17" t="str">
        <f t="shared" si="1"/>
        <v>Sun</v>
      </c>
      <c r="N10" s="17" t="str">
        <f t="shared" si="2"/>
        <v>Correct</v>
      </c>
    </row>
    <row r="11" spans="1:15" x14ac:dyDescent="0.25">
      <c r="A11" s="13" t="s">
        <v>52</v>
      </c>
      <c r="B11" s="14">
        <v>45994</v>
      </c>
      <c r="C11" s="13" t="s">
        <v>47</v>
      </c>
      <c r="D11" s="13" t="s">
        <v>22</v>
      </c>
      <c r="E11" s="15">
        <v>500</v>
      </c>
      <c r="F11" s="15">
        <v>1</v>
      </c>
      <c r="G11" s="15">
        <v>500</v>
      </c>
      <c r="H11" s="13" t="s">
        <v>23</v>
      </c>
      <c r="I11" s="13" t="s">
        <v>24</v>
      </c>
      <c r="J11" s="13" t="s">
        <v>35</v>
      </c>
      <c r="K11" s="13" t="s">
        <v>18</v>
      </c>
      <c r="L11" s="16" t="str">
        <f t="shared" si="0"/>
        <v>Dec</v>
      </c>
      <c r="M11" s="17" t="str">
        <f t="shared" si="1"/>
        <v>Wed</v>
      </c>
      <c r="N11" s="17" t="str">
        <f t="shared" si="2"/>
        <v>Correct</v>
      </c>
    </row>
    <row r="12" spans="1:15" x14ac:dyDescent="0.25">
      <c r="A12" s="13" t="s">
        <v>53</v>
      </c>
      <c r="B12" s="14" t="s">
        <v>54</v>
      </c>
      <c r="C12" s="13" t="s">
        <v>55</v>
      </c>
      <c r="D12" s="13" t="s">
        <v>56</v>
      </c>
      <c r="E12" s="15">
        <v>15</v>
      </c>
      <c r="F12" s="15">
        <v>2</v>
      </c>
      <c r="G12" s="15">
        <v>30</v>
      </c>
      <c r="H12" s="13" t="s">
        <v>57</v>
      </c>
      <c r="I12" s="13" t="s">
        <v>51</v>
      </c>
      <c r="J12" s="13" t="s">
        <v>30</v>
      </c>
      <c r="K12" s="13" t="s">
        <v>25</v>
      </c>
      <c r="L12" s="16" t="str">
        <f t="shared" si="0"/>
        <v>Feb</v>
      </c>
      <c r="M12" s="17" t="str">
        <f t="shared" si="1"/>
        <v>Mon</v>
      </c>
      <c r="N12" s="17" t="str">
        <f t="shared" si="2"/>
        <v>Correct</v>
      </c>
    </row>
    <row r="13" spans="1:15" x14ac:dyDescent="0.25">
      <c r="A13" s="13" t="s">
        <v>58</v>
      </c>
      <c r="B13" s="14" t="s">
        <v>59</v>
      </c>
      <c r="C13" s="13" t="s">
        <v>60</v>
      </c>
      <c r="D13" s="13" t="s">
        <v>40</v>
      </c>
      <c r="E13" s="15">
        <v>40</v>
      </c>
      <c r="F13" s="15">
        <v>4</v>
      </c>
      <c r="G13" s="15">
        <v>160</v>
      </c>
      <c r="H13" s="13" t="s">
        <v>61</v>
      </c>
      <c r="I13" s="13" t="s">
        <v>34</v>
      </c>
      <c r="J13" s="13" t="s">
        <v>35</v>
      </c>
      <c r="K13" s="13" t="s">
        <v>45</v>
      </c>
      <c r="L13" s="16" t="str">
        <f t="shared" si="0"/>
        <v>Mar</v>
      </c>
      <c r="M13" s="17" t="str">
        <f t="shared" si="1"/>
        <v>Thu</v>
      </c>
      <c r="N13" s="17" t="str">
        <f t="shared" si="2"/>
        <v>Correct</v>
      </c>
    </row>
    <row r="14" spans="1:15" x14ac:dyDescent="0.25">
      <c r="A14" s="13" t="s">
        <v>62</v>
      </c>
      <c r="B14" s="14">
        <v>45660</v>
      </c>
      <c r="C14" s="13" t="s">
        <v>63</v>
      </c>
      <c r="D14" s="13" t="s">
        <v>22</v>
      </c>
      <c r="E14" s="15">
        <v>800</v>
      </c>
      <c r="F14" s="15">
        <v>2</v>
      </c>
      <c r="G14" s="15">
        <v>1600</v>
      </c>
      <c r="H14" s="13" t="s">
        <v>64</v>
      </c>
      <c r="I14" s="13" t="s">
        <v>24</v>
      </c>
      <c r="J14" s="13" t="s">
        <v>65</v>
      </c>
      <c r="K14" s="13" t="s">
        <v>25</v>
      </c>
      <c r="L14" s="16" t="str">
        <f t="shared" si="0"/>
        <v>Jan</v>
      </c>
      <c r="M14" s="17" t="str">
        <f t="shared" si="1"/>
        <v>Fri</v>
      </c>
      <c r="N14" s="17" t="str">
        <f t="shared" si="2"/>
        <v>Correct</v>
      </c>
    </row>
    <row r="15" spans="1:15" x14ac:dyDescent="0.25">
      <c r="A15" s="13" t="s">
        <v>66</v>
      </c>
      <c r="B15" s="14">
        <v>45750</v>
      </c>
      <c r="C15" s="13" t="s">
        <v>67</v>
      </c>
      <c r="D15" s="13" t="s">
        <v>68</v>
      </c>
      <c r="E15" s="15">
        <v>600</v>
      </c>
      <c r="F15" s="15">
        <v>3</v>
      </c>
      <c r="G15" s="15">
        <v>1800</v>
      </c>
      <c r="H15" s="13" t="s">
        <v>61</v>
      </c>
      <c r="I15" s="13" t="s">
        <v>49</v>
      </c>
      <c r="J15" s="13" t="s">
        <v>35</v>
      </c>
      <c r="K15" s="13" t="s">
        <v>18</v>
      </c>
      <c r="L15" s="16" t="str">
        <f t="shared" si="0"/>
        <v>Apr</v>
      </c>
      <c r="M15" s="17" t="str">
        <f t="shared" si="1"/>
        <v>Thu</v>
      </c>
      <c r="N15" s="17" t="str">
        <f t="shared" si="2"/>
        <v>Correct</v>
      </c>
    </row>
    <row r="16" spans="1:15" x14ac:dyDescent="0.25">
      <c r="A16" s="13" t="s">
        <v>69</v>
      </c>
      <c r="B16" s="14" t="s">
        <v>70</v>
      </c>
      <c r="C16" s="13" t="s">
        <v>37</v>
      </c>
      <c r="D16" s="13" t="s">
        <v>22</v>
      </c>
      <c r="E16" s="15">
        <v>150</v>
      </c>
      <c r="F16" s="15">
        <v>4</v>
      </c>
      <c r="G16" s="15">
        <v>600</v>
      </c>
      <c r="H16" s="13" t="s">
        <v>28</v>
      </c>
      <c r="I16" s="13" t="s">
        <v>71</v>
      </c>
      <c r="J16" s="13" t="s">
        <v>35</v>
      </c>
      <c r="K16" s="13" t="s">
        <v>45</v>
      </c>
      <c r="L16" s="16" t="str">
        <f t="shared" si="0"/>
        <v>Feb</v>
      </c>
      <c r="M16" s="17" t="str">
        <f t="shared" si="1"/>
        <v>Thu</v>
      </c>
      <c r="N16" s="17" t="str">
        <f t="shared" si="2"/>
        <v>Correct</v>
      </c>
    </row>
    <row r="17" spans="1:14" x14ac:dyDescent="0.25">
      <c r="A17" s="13" t="s">
        <v>72</v>
      </c>
      <c r="B17" s="14" t="s">
        <v>73</v>
      </c>
      <c r="C17" s="13" t="s">
        <v>74</v>
      </c>
      <c r="D17" s="13" t="s">
        <v>68</v>
      </c>
      <c r="E17" s="15">
        <v>1200</v>
      </c>
      <c r="F17" s="15">
        <v>1</v>
      </c>
      <c r="G17" s="15">
        <v>1200</v>
      </c>
      <c r="H17" s="13" t="s">
        <v>28</v>
      </c>
      <c r="I17" s="13" t="s">
        <v>51</v>
      </c>
      <c r="J17" s="13" t="s">
        <v>35</v>
      </c>
      <c r="K17" s="13" t="s">
        <v>18</v>
      </c>
      <c r="L17" s="16" t="str">
        <f t="shared" si="0"/>
        <v>Feb</v>
      </c>
      <c r="M17" s="17" t="str">
        <f t="shared" si="1"/>
        <v>Wed</v>
      </c>
      <c r="N17" s="17" t="str">
        <f t="shared" si="2"/>
        <v>Correct</v>
      </c>
    </row>
    <row r="18" spans="1:14" x14ac:dyDescent="0.25">
      <c r="A18" s="13" t="s">
        <v>75</v>
      </c>
      <c r="B18" s="14">
        <v>45661</v>
      </c>
      <c r="C18" s="13" t="s">
        <v>39</v>
      </c>
      <c r="D18" s="13" t="s">
        <v>40</v>
      </c>
      <c r="E18" s="15">
        <v>20</v>
      </c>
      <c r="F18" s="15">
        <v>1</v>
      </c>
      <c r="G18" s="15">
        <v>20</v>
      </c>
      <c r="H18" s="13" t="s">
        <v>15</v>
      </c>
      <c r="I18" s="13" t="s">
        <v>16</v>
      </c>
      <c r="J18" s="13" t="s">
        <v>30</v>
      </c>
      <c r="K18" s="13" t="s">
        <v>45</v>
      </c>
      <c r="L18" s="16" t="str">
        <f t="shared" si="0"/>
        <v>Jan</v>
      </c>
      <c r="M18" s="17" t="str">
        <f t="shared" si="1"/>
        <v>Sat</v>
      </c>
      <c r="N18" s="17" t="str">
        <f t="shared" si="2"/>
        <v>Correct</v>
      </c>
    </row>
    <row r="19" spans="1:14" x14ac:dyDescent="0.25">
      <c r="A19" s="13" t="s">
        <v>76</v>
      </c>
      <c r="B19" s="14">
        <v>45932</v>
      </c>
      <c r="C19" s="13" t="s">
        <v>47</v>
      </c>
      <c r="D19" s="13" t="s">
        <v>22</v>
      </c>
      <c r="E19" s="15">
        <v>500</v>
      </c>
      <c r="F19" s="15">
        <v>2</v>
      </c>
      <c r="G19" s="15">
        <v>1000</v>
      </c>
      <c r="H19" s="13" t="s">
        <v>61</v>
      </c>
      <c r="I19" s="13" t="s">
        <v>77</v>
      </c>
      <c r="J19" s="13" t="s">
        <v>30</v>
      </c>
      <c r="K19" s="13" t="s">
        <v>45</v>
      </c>
      <c r="L19" s="16" t="str">
        <f t="shared" si="0"/>
        <v>Oct</v>
      </c>
      <c r="M19" s="17" t="str">
        <f t="shared" si="1"/>
        <v>Thu</v>
      </c>
      <c r="N19" s="17" t="str">
        <f t="shared" si="2"/>
        <v>Correct</v>
      </c>
    </row>
    <row r="20" spans="1:14" x14ac:dyDescent="0.25">
      <c r="A20" s="13" t="s">
        <v>78</v>
      </c>
      <c r="B20" s="14" t="s">
        <v>79</v>
      </c>
      <c r="C20" s="13" t="s">
        <v>13</v>
      </c>
      <c r="D20" s="13" t="s">
        <v>14</v>
      </c>
      <c r="E20" s="15">
        <v>60</v>
      </c>
      <c r="F20" s="15">
        <v>3</v>
      </c>
      <c r="G20" s="15">
        <v>180</v>
      </c>
      <c r="H20" s="13" t="s">
        <v>33</v>
      </c>
      <c r="I20" s="13" t="s">
        <v>43</v>
      </c>
      <c r="J20" s="13" t="s">
        <v>35</v>
      </c>
      <c r="K20" s="13" t="s">
        <v>45</v>
      </c>
      <c r="L20" s="16" t="str">
        <f t="shared" si="0"/>
        <v>Mar</v>
      </c>
      <c r="M20" s="17" t="str">
        <f t="shared" si="1"/>
        <v>Sat</v>
      </c>
      <c r="N20" s="17" t="str">
        <f t="shared" si="2"/>
        <v>Correct</v>
      </c>
    </row>
    <row r="21" spans="1:14" x14ac:dyDescent="0.25">
      <c r="A21" s="13" t="s">
        <v>80</v>
      </c>
      <c r="B21" s="14">
        <v>45841</v>
      </c>
      <c r="C21" s="13" t="s">
        <v>21</v>
      </c>
      <c r="D21" s="13" t="s">
        <v>22</v>
      </c>
      <c r="E21" s="15">
        <v>100</v>
      </c>
      <c r="F21" s="15">
        <v>4</v>
      </c>
      <c r="G21" s="15">
        <v>400</v>
      </c>
      <c r="H21" s="13" t="s">
        <v>33</v>
      </c>
      <c r="I21" s="13" t="s">
        <v>71</v>
      </c>
      <c r="J21" s="13" t="s">
        <v>17</v>
      </c>
      <c r="K21" s="13" t="s">
        <v>25</v>
      </c>
      <c r="L21" s="16" t="str">
        <f t="shared" si="0"/>
        <v>Jul</v>
      </c>
      <c r="M21" s="17" t="str">
        <f t="shared" si="1"/>
        <v>Thu</v>
      </c>
      <c r="N21" s="17" t="str">
        <f t="shared" si="2"/>
        <v>Correct</v>
      </c>
    </row>
    <row r="22" spans="1:14" x14ac:dyDescent="0.25">
      <c r="A22" s="13" t="s">
        <v>81</v>
      </c>
      <c r="B22" s="14">
        <v>45779</v>
      </c>
      <c r="C22" s="13" t="s">
        <v>21</v>
      </c>
      <c r="D22" s="13" t="s">
        <v>22</v>
      </c>
      <c r="E22" s="15">
        <v>100</v>
      </c>
      <c r="F22" s="15">
        <v>3</v>
      </c>
      <c r="G22" s="15">
        <v>300</v>
      </c>
      <c r="H22" s="13" t="s">
        <v>82</v>
      </c>
      <c r="I22" s="13" t="s">
        <v>49</v>
      </c>
      <c r="J22" s="13" t="s">
        <v>17</v>
      </c>
      <c r="K22" s="13" t="s">
        <v>18</v>
      </c>
      <c r="L22" s="16" t="str">
        <f t="shared" si="0"/>
        <v>May</v>
      </c>
      <c r="M22" s="17" t="str">
        <f t="shared" si="1"/>
        <v>Fri</v>
      </c>
      <c r="N22" s="17" t="str">
        <f t="shared" si="2"/>
        <v>Correct</v>
      </c>
    </row>
    <row r="23" spans="1:14" x14ac:dyDescent="0.25">
      <c r="A23" s="13" t="s">
        <v>83</v>
      </c>
      <c r="B23" s="14">
        <v>45841</v>
      </c>
      <c r="C23" s="13" t="s">
        <v>74</v>
      </c>
      <c r="D23" s="13" t="s">
        <v>68</v>
      </c>
      <c r="E23" s="15">
        <v>1200</v>
      </c>
      <c r="F23" s="15">
        <v>4</v>
      </c>
      <c r="G23" s="15">
        <v>4800</v>
      </c>
      <c r="H23" s="13" t="s">
        <v>33</v>
      </c>
      <c r="I23" s="13" t="s">
        <v>43</v>
      </c>
      <c r="J23" s="13" t="s">
        <v>35</v>
      </c>
      <c r="K23" s="13" t="s">
        <v>25</v>
      </c>
      <c r="L23" s="16" t="str">
        <f t="shared" si="0"/>
        <v>Jul</v>
      </c>
      <c r="M23" s="17" t="str">
        <f t="shared" si="1"/>
        <v>Thu</v>
      </c>
      <c r="N23" s="17" t="str">
        <f t="shared" si="2"/>
        <v>Correct</v>
      </c>
    </row>
    <row r="24" spans="1:14" x14ac:dyDescent="0.25">
      <c r="A24" s="13" t="s">
        <v>84</v>
      </c>
      <c r="B24" s="14" t="s">
        <v>85</v>
      </c>
      <c r="C24" s="13" t="s">
        <v>55</v>
      </c>
      <c r="D24" s="13" t="s">
        <v>56</v>
      </c>
      <c r="E24" s="15">
        <v>15</v>
      </c>
      <c r="F24" s="15">
        <v>1</v>
      </c>
      <c r="G24" s="15">
        <v>15</v>
      </c>
      <c r="H24" s="13" t="s">
        <v>15</v>
      </c>
      <c r="I24" s="13" t="s">
        <v>43</v>
      </c>
      <c r="J24" s="13" t="s">
        <v>35</v>
      </c>
      <c r="K24" s="13" t="s">
        <v>25</v>
      </c>
      <c r="L24" s="16" t="str">
        <f t="shared" si="0"/>
        <v>Feb</v>
      </c>
      <c r="M24" s="17" t="str">
        <f t="shared" si="1"/>
        <v>Sun</v>
      </c>
      <c r="N24" s="17" t="str">
        <f t="shared" si="2"/>
        <v>Correct</v>
      </c>
    </row>
    <row r="25" spans="1:14" x14ac:dyDescent="0.25">
      <c r="A25" s="13" t="s">
        <v>86</v>
      </c>
      <c r="B25" s="14" t="s">
        <v>87</v>
      </c>
      <c r="C25" s="13" t="s">
        <v>74</v>
      </c>
      <c r="D25" s="13" t="s">
        <v>68</v>
      </c>
      <c r="E25" s="15">
        <v>1200</v>
      </c>
      <c r="F25" s="15">
        <v>3</v>
      </c>
      <c r="G25" s="15">
        <v>3600</v>
      </c>
      <c r="H25" s="13" t="s">
        <v>82</v>
      </c>
      <c r="I25" s="13" t="s">
        <v>34</v>
      </c>
      <c r="J25" s="13" t="s">
        <v>35</v>
      </c>
      <c r="K25" s="13" t="s">
        <v>18</v>
      </c>
      <c r="L25" s="16" t="str">
        <f t="shared" si="0"/>
        <v>Mar</v>
      </c>
      <c r="M25" s="17" t="str">
        <f t="shared" si="1"/>
        <v>Mon</v>
      </c>
      <c r="N25" s="17" t="str">
        <f t="shared" si="2"/>
        <v>Correct</v>
      </c>
    </row>
    <row r="26" spans="1:14" x14ac:dyDescent="0.25">
      <c r="A26" s="13" t="s">
        <v>88</v>
      </c>
      <c r="B26" s="14">
        <v>45691</v>
      </c>
      <c r="C26" s="13" t="s">
        <v>55</v>
      </c>
      <c r="D26" s="13" t="s">
        <v>56</v>
      </c>
      <c r="E26" s="15">
        <v>15</v>
      </c>
      <c r="F26" s="15">
        <v>5</v>
      </c>
      <c r="G26" s="15">
        <v>75</v>
      </c>
      <c r="H26" s="13" t="s">
        <v>48</v>
      </c>
      <c r="I26" s="13" t="s">
        <v>71</v>
      </c>
      <c r="J26" s="13" t="s">
        <v>30</v>
      </c>
      <c r="K26" s="13" t="s">
        <v>45</v>
      </c>
      <c r="L26" s="16" t="str">
        <f t="shared" si="0"/>
        <v>Feb</v>
      </c>
      <c r="M26" s="17" t="str">
        <f t="shared" si="1"/>
        <v>Mon</v>
      </c>
      <c r="N26" s="17" t="str">
        <f t="shared" si="2"/>
        <v>Correct</v>
      </c>
    </row>
    <row r="27" spans="1:14" x14ac:dyDescent="0.25">
      <c r="A27" s="13" t="s">
        <v>89</v>
      </c>
      <c r="B27" s="14" t="s">
        <v>90</v>
      </c>
      <c r="C27" s="13" t="s">
        <v>67</v>
      </c>
      <c r="D27" s="13" t="s">
        <v>68</v>
      </c>
      <c r="E27" s="15">
        <v>600</v>
      </c>
      <c r="F27" s="15">
        <v>1</v>
      </c>
      <c r="G27" s="15">
        <v>600</v>
      </c>
      <c r="H27" s="13" t="s">
        <v>33</v>
      </c>
      <c r="I27" s="13" t="s">
        <v>51</v>
      </c>
      <c r="J27" s="13" t="s">
        <v>17</v>
      </c>
      <c r="K27" s="13" t="s">
        <v>18</v>
      </c>
      <c r="L27" s="16" t="str">
        <f t="shared" si="0"/>
        <v>Feb</v>
      </c>
      <c r="M27" s="17" t="str">
        <f t="shared" si="1"/>
        <v>Fri</v>
      </c>
      <c r="N27" s="17" t="str">
        <f t="shared" si="2"/>
        <v>Correct</v>
      </c>
    </row>
    <row r="28" spans="1:14" x14ac:dyDescent="0.25">
      <c r="A28" s="13" t="s">
        <v>91</v>
      </c>
      <c r="B28" s="14">
        <v>45840</v>
      </c>
      <c r="C28" s="13" t="s">
        <v>39</v>
      </c>
      <c r="D28" s="13" t="s">
        <v>40</v>
      </c>
      <c r="E28" s="15">
        <v>20</v>
      </c>
      <c r="F28" s="15">
        <v>1</v>
      </c>
      <c r="G28" s="15">
        <v>20</v>
      </c>
      <c r="H28" s="13" t="s">
        <v>64</v>
      </c>
      <c r="I28" s="13" t="s">
        <v>16</v>
      </c>
      <c r="J28" s="13" t="s">
        <v>30</v>
      </c>
      <c r="K28" s="13" t="s">
        <v>25</v>
      </c>
      <c r="L28" s="16" t="str">
        <f t="shared" si="0"/>
        <v>Jul</v>
      </c>
      <c r="M28" s="17" t="str">
        <f t="shared" si="1"/>
        <v>Wed</v>
      </c>
      <c r="N28" s="17" t="str">
        <f t="shared" si="2"/>
        <v>Correct</v>
      </c>
    </row>
    <row r="29" spans="1:14" x14ac:dyDescent="0.25">
      <c r="A29" s="13" t="s">
        <v>92</v>
      </c>
      <c r="B29" s="14">
        <v>45718</v>
      </c>
      <c r="C29" s="13" t="s">
        <v>21</v>
      </c>
      <c r="D29" s="13" t="s">
        <v>22</v>
      </c>
      <c r="E29" s="15">
        <v>100</v>
      </c>
      <c r="F29" s="15">
        <v>1</v>
      </c>
      <c r="G29" s="15">
        <v>100</v>
      </c>
      <c r="H29" s="13" t="s">
        <v>93</v>
      </c>
      <c r="I29" s="13" t="s">
        <v>94</v>
      </c>
      <c r="J29" s="13" t="s">
        <v>30</v>
      </c>
      <c r="K29" s="13" t="s">
        <v>45</v>
      </c>
      <c r="L29" s="16" t="str">
        <f t="shared" si="0"/>
        <v>Mar</v>
      </c>
      <c r="M29" s="17" t="str">
        <f t="shared" si="1"/>
        <v>Sun</v>
      </c>
      <c r="N29" s="17" t="str">
        <f t="shared" si="2"/>
        <v>Correct</v>
      </c>
    </row>
    <row r="30" spans="1:14" x14ac:dyDescent="0.25">
      <c r="A30" s="13" t="s">
        <v>95</v>
      </c>
      <c r="B30" s="14">
        <v>45993</v>
      </c>
      <c r="C30" s="13" t="s">
        <v>47</v>
      </c>
      <c r="D30" s="13" t="s">
        <v>22</v>
      </c>
      <c r="E30" s="15">
        <v>500</v>
      </c>
      <c r="F30" s="15">
        <v>1</v>
      </c>
      <c r="G30" s="15">
        <v>500</v>
      </c>
      <c r="H30" s="13" t="s">
        <v>48</v>
      </c>
      <c r="I30" s="13" t="s">
        <v>29</v>
      </c>
      <c r="J30" s="13" t="s">
        <v>35</v>
      </c>
      <c r="K30" s="13" t="s">
        <v>18</v>
      </c>
      <c r="L30" s="16" t="str">
        <f t="shared" si="0"/>
        <v>Dec</v>
      </c>
      <c r="M30" s="17" t="str">
        <f t="shared" si="1"/>
        <v>Tue</v>
      </c>
      <c r="N30" s="17" t="str">
        <f t="shared" si="2"/>
        <v>Correct</v>
      </c>
    </row>
    <row r="31" spans="1:14" x14ac:dyDescent="0.25">
      <c r="A31" s="13" t="s">
        <v>96</v>
      </c>
      <c r="B31" s="14">
        <v>45932</v>
      </c>
      <c r="C31" s="13" t="s">
        <v>67</v>
      </c>
      <c r="D31" s="13" t="s">
        <v>68</v>
      </c>
      <c r="E31" s="15">
        <v>600</v>
      </c>
      <c r="F31" s="15">
        <v>3</v>
      </c>
      <c r="G31" s="15">
        <v>1800</v>
      </c>
      <c r="H31" s="13" t="s">
        <v>23</v>
      </c>
      <c r="I31" s="13" t="s">
        <v>34</v>
      </c>
      <c r="J31" s="13" t="s">
        <v>65</v>
      </c>
      <c r="K31" s="13" t="s">
        <v>18</v>
      </c>
      <c r="L31" s="16" t="str">
        <f t="shared" si="0"/>
        <v>Oct</v>
      </c>
      <c r="M31" s="17" t="str">
        <f t="shared" si="1"/>
        <v>Thu</v>
      </c>
      <c r="N31" s="17" t="str">
        <f t="shared" si="2"/>
        <v>Correct</v>
      </c>
    </row>
    <row r="32" spans="1:14" x14ac:dyDescent="0.25">
      <c r="A32" s="13" t="s">
        <v>97</v>
      </c>
      <c r="B32" s="14" t="s">
        <v>87</v>
      </c>
      <c r="C32" s="13" t="s">
        <v>47</v>
      </c>
      <c r="D32" s="13" t="s">
        <v>22</v>
      </c>
      <c r="E32" s="15">
        <v>500</v>
      </c>
      <c r="F32" s="15">
        <v>1</v>
      </c>
      <c r="G32" s="15">
        <v>500</v>
      </c>
      <c r="H32" s="13" t="s">
        <v>28</v>
      </c>
      <c r="I32" s="13" t="s">
        <v>43</v>
      </c>
      <c r="J32" s="13" t="s">
        <v>65</v>
      </c>
      <c r="K32" s="13" t="s">
        <v>25</v>
      </c>
      <c r="L32" s="16" t="str">
        <f t="shared" si="0"/>
        <v>Mar</v>
      </c>
      <c r="M32" s="17" t="str">
        <f t="shared" si="1"/>
        <v>Mon</v>
      </c>
      <c r="N32" s="17" t="str">
        <f t="shared" si="2"/>
        <v>Correct</v>
      </c>
    </row>
    <row r="33" spans="1:14" x14ac:dyDescent="0.25">
      <c r="A33" s="13" t="s">
        <v>98</v>
      </c>
      <c r="B33" s="14">
        <v>45933</v>
      </c>
      <c r="C33" s="13" t="s">
        <v>47</v>
      </c>
      <c r="D33" s="13" t="s">
        <v>22</v>
      </c>
      <c r="E33" s="15">
        <v>500</v>
      </c>
      <c r="F33" s="15">
        <v>4</v>
      </c>
      <c r="G33" s="15">
        <v>2000</v>
      </c>
      <c r="H33" s="13" t="s">
        <v>61</v>
      </c>
      <c r="I33" s="13" t="s">
        <v>71</v>
      </c>
      <c r="J33" s="13" t="s">
        <v>44</v>
      </c>
      <c r="K33" s="13" t="s">
        <v>25</v>
      </c>
      <c r="L33" s="16" t="str">
        <f t="shared" si="0"/>
        <v>Oct</v>
      </c>
      <c r="M33" s="17" t="str">
        <f t="shared" si="1"/>
        <v>Fri</v>
      </c>
      <c r="N33" s="17" t="str">
        <f t="shared" si="2"/>
        <v>Correct</v>
      </c>
    </row>
    <row r="34" spans="1:14" x14ac:dyDescent="0.25">
      <c r="A34" s="13" t="s">
        <v>99</v>
      </c>
      <c r="B34" s="14">
        <v>45749</v>
      </c>
      <c r="C34" s="13" t="s">
        <v>55</v>
      </c>
      <c r="D34" s="13" t="s">
        <v>56</v>
      </c>
      <c r="E34" s="15">
        <v>15</v>
      </c>
      <c r="F34" s="15">
        <v>1</v>
      </c>
      <c r="G34" s="15">
        <v>15</v>
      </c>
      <c r="H34" s="13" t="s">
        <v>33</v>
      </c>
      <c r="I34" s="13" t="s">
        <v>16</v>
      </c>
      <c r="J34" s="13" t="s">
        <v>17</v>
      </c>
      <c r="K34" s="13" t="s">
        <v>18</v>
      </c>
      <c r="L34" s="16" t="str">
        <f t="shared" si="0"/>
        <v>Apr</v>
      </c>
      <c r="M34" s="17" t="str">
        <f t="shared" si="1"/>
        <v>Wed</v>
      </c>
      <c r="N34" s="17" t="str">
        <f t="shared" si="2"/>
        <v>Correct</v>
      </c>
    </row>
    <row r="35" spans="1:14" x14ac:dyDescent="0.25">
      <c r="A35" s="13" t="s">
        <v>100</v>
      </c>
      <c r="B35" s="14">
        <v>45692</v>
      </c>
      <c r="C35" s="13" t="s">
        <v>39</v>
      </c>
      <c r="D35" s="13" t="s">
        <v>40</v>
      </c>
      <c r="E35" s="15">
        <v>20</v>
      </c>
      <c r="F35" s="15">
        <v>5</v>
      </c>
      <c r="G35" s="15">
        <v>100</v>
      </c>
      <c r="H35" s="13" t="s">
        <v>93</v>
      </c>
      <c r="I35" s="13" t="s">
        <v>16</v>
      </c>
      <c r="J35" s="13" t="s">
        <v>35</v>
      </c>
      <c r="K35" s="13" t="s">
        <v>25</v>
      </c>
      <c r="L35" s="16" t="str">
        <f t="shared" si="0"/>
        <v>Feb</v>
      </c>
      <c r="M35" s="17" t="str">
        <f t="shared" si="1"/>
        <v>Tue</v>
      </c>
      <c r="N35" s="17" t="str">
        <f t="shared" si="2"/>
        <v>Correct</v>
      </c>
    </row>
    <row r="36" spans="1:14" x14ac:dyDescent="0.25">
      <c r="A36" s="13" t="s">
        <v>101</v>
      </c>
      <c r="B36" s="14">
        <v>45692</v>
      </c>
      <c r="C36" s="13" t="s">
        <v>63</v>
      </c>
      <c r="D36" s="13" t="s">
        <v>22</v>
      </c>
      <c r="E36" s="15">
        <v>800</v>
      </c>
      <c r="F36" s="15">
        <v>3</v>
      </c>
      <c r="G36" s="15">
        <v>2400</v>
      </c>
      <c r="H36" s="13" t="s">
        <v>15</v>
      </c>
      <c r="I36" s="13" t="s">
        <v>29</v>
      </c>
      <c r="J36" s="13" t="s">
        <v>30</v>
      </c>
      <c r="K36" s="13" t="s">
        <v>45</v>
      </c>
      <c r="L36" s="16" t="str">
        <f t="shared" si="0"/>
        <v>Feb</v>
      </c>
      <c r="M36" s="17" t="str">
        <f t="shared" si="1"/>
        <v>Tue</v>
      </c>
      <c r="N36" s="17" t="str">
        <f t="shared" si="2"/>
        <v>Correct</v>
      </c>
    </row>
    <row r="37" spans="1:14" x14ac:dyDescent="0.25">
      <c r="A37" s="13" t="s">
        <v>102</v>
      </c>
      <c r="B37" s="14">
        <v>45902</v>
      </c>
      <c r="C37" s="13" t="s">
        <v>74</v>
      </c>
      <c r="D37" s="13" t="s">
        <v>68</v>
      </c>
      <c r="E37" s="15">
        <v>1200</v>
      </c>
      <c r="F37" s="15">
        <v>2</v>
      </c>
      <c r="G37" s="15">
        <v>2400</v>
      </c>
      <c r="H37" s="13" t="s">
        <v>48</v>
      </c>
      <c r="I37" s="13" t="s">
        <v>51</v>
      </c>
      <c r="J37" s="13" t="s">
        <v>44</v>
      </c>
      <c r="K37" s="13" t="s">
        <v>18</v>
      </c>
      <c r="L37" s="16" t="str">
        <f t="shared" si="0"/>
        <v>Sep</v>
      </c>
      <c r="M37" s="17" t="str">
        <f t="shared" si="1"/>
        <v>Tue</v>
      </c>
      <c r="N37" s="17" t="str">
        <f t="shared" si="2"/>
        <v>Correct</v>
      </c>
    </row>
    <row r="38" spans="1:14" x14ac:dyDescent="0.25">
      <c r="A38" s="13" t="s">
        <v>103</v>
      </c>
      <c r="B38" s="14" t="s">
        <v>104</v>
      </c>
      <c r="C38" s="13" t="s">
        <v>21</v>
      </c>
      <c r="D38" s="13" t="s">
        <v>22</v>
      </c>
      <c r="E38" s="15">
        <v>100</v>
      </c>
      <c r="F38" s="15">
        <v>3</v>
      </c>
      <c r="G38" s="15">
        <v>300</v>
      </c>
      <c r="H38" s="13" t="s">
        <v>61</v>
      </c>
      <c r="I38" s="13" t="s">
        <v>16</v>
      </c>
      <c r="J38" s="13" t="s">
        <v>17</v>
      </c>
      <c r="K38" s="13" t="s">
        <v>18</v>
      </c>
      <c r="L38" s="16" t="str">
        <f t="shared" si="0"/>
        <v>Feb</v>
      </c>
      <c r="M38" s="17" t="str">
        <f t="shared" si="1"/>
        <v>Sun</v>
      </c>
      <c r="N38" s="17" t="str">
        <f t="shared" si="2"/>
        <v>Correct</v>
      </c>
    </row>
    <row r="39" spans="1:14" x14ac:dyDescent="0.25">
      <c r="A39" s="13" t="s">
        <v>105</v>
      </c>
      <c r="B39" s="14" t="s">
        <v>106</v>
      </c>
      <c r="C39" s="13" t="s">
        <v>63</v>
      </c>
      <c r="D39" s="13" t="s">
        <v>22</v>
      </c>
      <c r="E39" s="15">
        <v>800</v>
      </c>
      <c r="F39" s="15">
        <v>3</v>
      </c>
      <c r="G39" s="15">
        <v>2400</v>
      </c>
      <c r="H39" s="13" t="s">
        <v>33</v>
      </c>
      <c r="I39" s="13" t="s">
        <v>94</v>
      </c>
      <c r="J39" s="13" t="s">
        <v>30</v>
      </c>
      <c r="K39" s="13" t="s">
        <v>45</v>
      </c>
      <c r="L39" s="16" t="str">
        <f t="shared" si="0"/>
        <v>Mar</v>
      </c>
      <c r="M39" s="17" t="str">
        <f t="shared" si="1"/>
        <v>Wed</v>
      </c>
      <c r="N39" s="17" t="str">
        <f t="shared" si="2"/>
        <v>Correct</v>
      </c>
    </row>
    <row r="40" spans="1:14" x14ac:dyDescent="0.25">
      <c r="A40" s="13" t="s">
        <v>107</v>
      </c>
      <c r="B40" s="14">
        <v>45691</v>
      </c>
      <c r="C40" s="13" t="s">
        <v>63</v>
      </c>
      <c r="D40" s="13" t="s">
        <v>22</v>
      </c>
      <c r="E40" s="15">
        <v>800</v>
      </c>
      <c r="F40" s="15">
        <v>2</v>
      </c>
      <c r="G40" s="15">
        <v>1600</v>
      </c>
      <c r="H40" s="13" t="s">
        <v>33</v>
      </c>
      <c r="I40" s="13" t="s">
        <v>24</v>
      </c>
      <c r="J40" s="13" t="s">
        <v>44</v>
      </c>
      <c r="K40" s="13" t="s">
        <v>45</v>
      </c>
      <c r="L40" s="16" t="str">
        <f t="shared" si="0"/>
        <v>Feb</v>
      </c>
      <c r="M40" s="17" t="str">
        <f t="shared" si="1"/>
        <v>Mon</v>
      </c>
      <c r="N40" s="17" t="str">
        <f t="shared" si="2"/>
        <v>Correct</v>
      </c>
    </row>
    <row r="41" spans="1:14" x14ac:dyDescent="0.25">
      <c r="A41" s="13" t="s">
        <v>108</v>
      </c>
      <c r="B41" s="14" t="s">
        <v>106</v>
      </c>
      <c r="C41" s="13" t="s">
        <v>37</v>
      </c>
      <c r="D41" s="13" t="s">
        <v>22</v>
      </c>
      <c r="E41" s="15">
        <v>150</v>
      </c>
      <c r="F41" s="15">
        <v>1</v>
      </c>
      <c r="G41" s="15">
        <v>150</v>
      </c>
      <c r="H41" s="13" t="s">
        <v>23</v>
      </c>
      <c r="I41" s="13" t="s">
        <v>71</v>
      </c>
      <c r="J41" s="13" t="s">
        <v>65</v>
      </c>
      <c r="K41" s="13" t="s">
        <v>25</v>
      </c>
      <c r="L41" s="16" t="str">
        <f t="shared" si="0"/>
        <v>Mar</v>
      </c>
      <c r="M41" s="17" t="str">
        <f t="shared" si="1"/>
        <v>Wed</v>
      </c>
      <c r="N41" s="17" t="str">
        <f t="shared" si="2"/>
        <v>Correct</v>
      </c>
    </row>
    <row r="42" spans="1:14" x14ac:dyDescent="0.25">
      <c r="A42" s="13" t="s">
        <v>109</v>
      </c>
      <c r="B42" s="14" t="s">
        <v>70</v>
      </c>
      <c r="C42" s="13" t="s">
        <v>55</v>
      </c>
      <c r="D42" s="13" t="s">
        <v>56</v>
      </c>
      <c r="E42" s="15">
        <v>15</v>
      </c>
      <c r="F42" s="15">
        <v>1</v>
      </c>
      <c r="G42" s="15">
        <v>15</v>
      </c>
      <c r="H42" s="13" t="s">
        <v>93</v>
      </c>
      <c r="I42" s="13" t="s">
        <v>49</v>
      </c>
      <c r="J42" s="13" t="s">
        <v>35</v>
      </c>
      <c r="K42" s="13" t="s">
        <v>18</v>
      </c>
      <c r="L42" s="16" t="str">
        <f t="shared" si="0"/>
        <v>Feb</v>
      </c>
      <c r="M42" s="17" t="str">
        <f t="shared" si="1"/>
        <v>Thu</v>
      </c>
      <c r="N42" s="17" t="str">
        <f t="shared" si="2"/>
        <v>Correct</v>
      </c>
    </row>
    <row r="43" spans="1:14" x14ac:dyDescent="0.25">
      <c r="A43" s="13" t="s">
        <v>110</v>
      </c>
      <c r="B43" s="14" t="s">
        <v>111</v>
      </c>
      <c r="C43" s="13" t="s">
        <v>21</v>
      </c>
      <c r="D43" s="13" t="s">
        <v>22</v>
      </c>
      <c r="E43" s="15">
        <v>100</v>
      </c>
      <c r="F43" s="15">
        <v>3</v>
      </c>
      <c r="G43" s="15">
        <v>300</v>
      </c>
      <c r="H43" s="13" t="s">
        <v>93</v>
      </c>
      <c r="I43" s="13" t="s">
        <v>94</v>
      </c>
      <c r="J43" s="13" t="s">
        <v>30</v>
      </c>
      <c r="K43" s="13" t="s">
        <v>18</v>
      </c>
      <c r="L43" s="16" t="str">
        <f t="shared" si="0"/>
        <v>Mar</v>
      </c>
      <c r="M43" s="17" t="str">
        <f t="shared" si="1"/>
        <v>Mon</v>
      </c>
      <c r="N43" s="17" t="str">
        <f t="shared" si="2"/>
        <v>Correct</v>
      </c>
    </row>
    <row r="44" spans="1:14" x14ac:dyDescent="0.25">
      <c r="A44" s="13" t="s">
        <v>112</v>
      </c>
      <c r="B44" s="14">
        <v>45871</v>
      </c>
      <c r="C44" s="13" t="s">
        <v>39</v>
      </c>
      <c r="D44" s="13" t="s">
        <v>40</v>
      </c>
      <c r="E44" s="15">
        <v>20</v>
      </c>
      <c r="F44" s="15">
        <v>4</v>
      </c>
      <c r="G44" s="15">
        <v>80</v>
      </c>
      <c r="H44" s="13" t="s">
        <v>93</v>
      </c>
      <c r="I44" s="13" t="s">
        <v>29</v>
      </c>
      <c r="J44" s="13" t="s">
        <v>35</v>
      </c>
      <c r="K44" s="13" t="s">
        <v>25</v>
      </c>
      <c r="L44" s="16" t="str">
        <f t="shared" si="0"/>
        <v>Aug</v>
      </c>
      <c r="M44" s="17" t="str">
        <f t="shared" si="1"/>
        <v>Sat</v>
      </c>
      <c r="N44" s="17" t="str">
        <f t="shared" si="2"/>
        <v>Correct</v>
      </c>
    </row>
    <row r="45" spans="1:14" x14ac:dyDescent="0.25">
      <c r="A45" s="13" t="s">
        <v>113</v>
      </c>
      <c r="B45" s="14" t="s">
        <v>87</v>
      </c>
      <c r="C45" s="13" t="s">
        <v>37</v>
      </c>
      <c r="D45" s="13" t="s">
        <v>22</v>
      </c>
      <c r="E45" s="15">
        <v>150</v>
      </c>
      <c r="F45" s="15">
        <v>1</v>
      </c>
      <c r="G45" s="15">
        <v>150</v>
      </c>
      <c r="H45" s="13" t="s">
        <v>82</v>
      </c>
      <c r="I45" s="13" t="s">
        <v>43</v>
      </c>
      <c r="J45" s="13" t="s">
        <v>17</v>
      </c>
      <c r="K45" s="13" t="s">
        <v>25</v>
      </c>
      <c r="L45" s="16" t="str">
        <f t="shared" si="0"/>
        <v>Mar</v>
      </c>
      <c r="M45" s="17" t="str">
        <f t="shared" si="1"/>
        <v>Mon</v>
      </c>
      <c r="N45" s="17" t="str">
        <f t="shared" si="2"/>
        <v>Correct</v>
      </c>
    </row>
    <row r="46" spans="1:14" x14ac:dyDescent="0.25">
      <c r="A46" s="13" t="s">
        <v>114</v>
      </c>
      <c r="B46" s="14" t="s">
        <v>115</v>
      </c>
      <c r="C46" s="13" t="s">
        <v>74</v>
      </c>
      <c r="D46" s="13" t="s">
        <v>68</v>
      </c>
      <c r="E46" s="15">
        <v>1200</v>
      </c>
      <c r="F46" s="15">
        <v>3</v>
      </c>
      <c r="G46" s="15">
        <v>3600</v>
      </c>
      <c r="H46" s="13" t="s">
        <v>64</v>
      </c>
      <c r="I46" s="13" t="s">
        <v>16</v>
      </c>
      <c r="J46" s="13" t="s">
        <v>35</v>
      </c>
      <c r="K46" s="13" t="s">
        <v>25</v>
      </c>
      <c r="L46" s="16" t="str">
        <f t="shared" si="0"/>
        <v>Mar</v>
      </c>
      <c r="M46" s="17" t="str">
        <f t="shared" si="1"/>
        <v>Sat</v>
      </c>
      <c r="N46" s="17" t="str">
        <f t="shared" si="2"/>
        <v>Correct</v>
      </c>
    </row>
    <row r="47" spans="1:14" x14ac:dyDescent="0.25">
      <c r="A47" s="13" t="s">
        <v>116</v>
      </c>
      <c r="B47" s="14">
        <v>45811</v>
      </c>
      <c r="C47" s="13" t="s">
        <v>13</v>
      </c>
      <c r="D47" s="13" t="s">
        <v>14</v>
      </c>
      <c r="E47" s="15">
        <v>60</v>
      </c>
      <c r="F47" s="15">
        <v>2</v>
      </c>
      <c r="G47" s="15">
        <v>120</v>
      </c>
      <c r="H47" s="13" t="s">
        <v>57</v>
      </c>
      <c r="I47" s="13" t="s">
        <v>43</v>
      </c>
      <c r="J47" s="13" t="s">
        <v>17</v>
      </c>
      <c r="K47" s="13" t="s">
        <v>18</v>
      </c>
      <c r="L47" s="16" t="str">
        <f t="shared" si="0"/>
        <v>Jun</v>
      </c>
      <c r="M47" s="17" t="str">
        <f t="shared" si="1"/>
        <v>Tue</v>
      </c>
      <c r="N47" s="17" t="str">
        <f t="shared" si="2"/>
        <v>Correct</v>
      </c>
    </row>
    <row r="48" spans="1:14" x14ac:dyDescent="0.25">
      <c r="A48" s="13" t="s">
        <v>117</v>
      </c>
      <c r="B48" s="14" t="s">
        <v>106</v>
      </c>
      <c r="C48" s="13" t="s">
        <v>39</v>
      </c>
      <c r="D48" s="13" t="s">
        <v>40</v>
      </c>
      <c r="E48" s="15">
        <v>20</v>
      </c>
      <c r="F48" s="15">
        <v>2</v>
      </c>
      <c r="G48" s="15">
        <v>40</v>
      </c>
      <c r="H48" s="13" t="s">
        <v>82</v>
      </c>
      <c r="I48" s="13" t="s">
        <v>49</v>
      </c>
      <c r="J48" s="13" t="s">
        <v>65</v>
      </c>
      <c r="K48" s="13" t="s">
        <v>18</v>
      </c>
      <c r="L48" s="16" t="str">
        <f t="shared" si="0"/>
        <v>Mar</v>
      </c>
      <c r="M48" s="17" t="str">
        <f t="shared" si="1"/>
        <v>Wed</v>
      </c>
      <c r="N48" s="17" t="str">
        <f t="shared" si="2"/>
        <v>Correct</v>
      </c>
    </row>
    <row r="49" spans="1:14" x14ac:dyDescent="0.25">
      <c r="A49" s="13" t="s">
        <v>118</v>
      </c>
      <c r="B49" s="14">
        <v>45963</v>
      </c>
      <c r="C49" s="13" t="s">
        <v>39</v>
      </c>
      <c r="D49" s="13" t="s">
        <v>40</v>
      </c>
      <c r="E49" s="15">
        <v>20</v>
      </c>
      <c r="F49" s="15">
        <v>5</v>
      </c>
      <c r="G49" s="15">
        <v>100</v>
      </c>
      <c r="H49" s="13" t="s">
        <v>93</v>
      </c>
      <c r="I49" s="13" t="s">
        <v>29</v>
      </c>
      <c r="J49" s="13" t="s">
        <v>30</v>
      </c>
      <c r="K49" s="13" t="s">
        <v>45</v>
      </c>
      <c r="L49" s="16" t="str">
        <f t="shared" si="0"/>
        <v>Nov</v>
      </c>
      <c r="M49" s="17" t="str">
        <f t="shared" si="1"/>
        <v>Sun</v>
      </c>
      <c r="N49" s="17" t="str">
        <f t="shared" si="2"/>
        <v>Correct</v>
      </c>
    </row>
    <row r="50" spans="1:14" x14ac:dyDescent="0.25">
      <c r="A50" s="13" t="s">
        <v>119</v>
      </c>
      <c r="B50" s="14" t="s">
        <v>120</v>
      </c>
      <c r="C50" s="13" t="s">
        <v>47</v>
      </c>
      <c r="D50" s="13" t="s">
        <v>22</v>
      </c>
      <c r="E50" s="15">
        <v>500</v>
      </c>
      <c r="F50" s="15">
        <v>4</v>
      </c>
      <c r="G50" s="15">
        <v>2000</v>
      </c>
      <c r="H50" s="13" t="s">
        <v>15</v>
      </c>
      <c r="I50" s="13" t="s">
        <v>94</v>
      </c>
      <c r="J50" s="13" t="s">
        <v>17</v>
      </c>
      <c r="K50" s="13" t="s">
        <v>45</v>
      </c>
      <c r="L50" s="16" t="str">
        <f t="shared" si="0"/>
        <v>Feb</v>
      </c>
      <c r="M50" s="17" t="str">
        <f t="shared" si="1"/>
        <v>Tue</v>
      </c>
      <c r="N50" s="17" t="str">
        <f t="shared" si="2"/>
        <v>Correct</v>
      </c>
    </row>
    <row r="51" spans="1:14" x14ac:dyDescent="0.25">
      <c r="A51" s="13" t="s">
        <v>121</v>
      </c>
      <c r="B51" s="14" t="s">
        <v>12</v>
      </c>
      <c r="C51" s="13" t="s">
        <v>60</v>
      </c>
      <c r="D51" s="13" t="s">
        <v>40</v>
      </c>
      <c r="E51" s="15">
        <v>40</v>
      </c>
      <c r="F51" s="15">
        <v>3</v>
      </c>
      <c r="G51" s="15">
        <v>120</v>
      </c>
      <c r="H51" s="13" t="s">
        <v>28</v>
      </c>
      <c r="I51" s="13" t="s">
        <v>51</v>
      </c>
      <c r="J51" s="13" t="s">
        <v>65</v>
      </c>
      <c r="K51" s="13" t="s">
        <v>45</v>
      </c>
      <c r="L51" s="16" t="str">
        <f t="shared" si="0"/>
        <v>Mar</v>
      </c>
      <c r="M51" s="17" t="str">
        <f t="shared" si="1"/>
        <v>Fri</v>
      </c>
      <c r="N51" s="17" t="str">
        <f t="shared" si="2"/>
        <v>Correct</v>
      </c>
    </row>
    <row r="52" spans="1:14" x14ac:dyDescent="0.25">
      <c r="A52" s="13" t="s">
        <v>122</v>
      </c>
      <c r="B52" s="14" t="s">
        <v>32</v>
      </c>
      <c r="C52" s="13" t="s">
        <v>55</v>
      </c>
      <c r="D52" s="13" t="s">
        <v>56</v>
      </c>
      <c r="E52" s="15">
        <v>15</v>
      </c>
      <c r="F52" s="15">
        <v>1</v>
      </c>
      <c r="G52" s="15">
        <v>15</v>
      </c>
      <c r="H52" s="13" t="s">
        <v>15</v>
      </c>
      <c r="I52" s="13" t="s">
        <v>43</v>
      </c>
      <c r="J52" s="13" t="s">
        <v>65</v>
      </c>
      <c r="K52" s="13" t="s">
        <v>18</v>
      </c>
      <c r="L52" s="16" t="str">
        <f t="shared" si="0"/>
        <v>Feb</v>
      </c>
      <c r="M52" s="17" t="str">
        <f t="shared" si="1"/>
        <v>Wed</v>
      </c>
      <c r="N52" s="17" t="str">
        <f t="shared" si="2"/>
        <v>Correct</v>
      </c>
    </row>
    <row r="53" spans="1:14" x14ac:dyDescent="0.25">
      <c r="A53" s="13" t="s">
        <v>123</v>
      </c>
      <c r="B53" s="14" t="s">
        <v>124</v>
      </c>
      <c r="C53" s="13" t="s">
        <v>63</v>
      </c>
      <c r="D53" s="13" t="s">
        <v>22</v>
      </c>
      <c r="E53" s="15">
        <v>800</v>
      </c>
      <c r="F53" s="15">
        <v>3</v>
      </c>
      <c r="G53" s="15">
        <v>2400</v>
      </c>
      <c r="H53" s="13" t="s">
        <v>28</v>
      </c>
      <c r="I53" s="13" t="s">
        <v>24</v>
      </c>
      <c r="J53" s="13" t="s">
        <v>35</v>
      </c>
      <c r="K53" s="13" t="s">
        <v>25</v>
      </c>
      <c r="L53" s="16" t="str">
        <f t="shared" si="0"/>
        <v>Feb</v>
      </c>
      <c r="M53" s="17" t="str">
        <f t="shared" si="1"/>
        <v>Mon</v>
      </c>
      <c r="N53" s="17" t="str">
        <f t="shared" si="2"/>
        <v>Correct</v>
      </c>
    </row>
    <row r="54" spans="1:14" x14ac:dyDescent="0.25">
      <c r="A54" s="13" t="s">
        <v>125</v>
      </c>
      <c r="B54" s="14" t="s">
        <v>87</v>
      </c>
      <c r="C54" s="13" t="s">
        <v>13</v>
      </c>
      <c r="D54" s="13" t="s">
        <v>14</v>
      </c>
      <c r="E54" s="15">
        <v>60</v>
      </c>
      <c r="F54" s="15">
        <v>4</v>
      </c>
      <c r="G54" s="15">
        <v>240</v>
      </c>
      <c r="H54" s="13" t="s">
        <v>23</v>
      </c>
      <c r="I54" s="13" t="s">
        <v>77</v>
      </c>
      <c r="J54" s="13" t="s">
        <v>44</v>
      </c>
      <c r="K54" s="13" t="s">
        <v>45</v>
      </c>
      <c r="L54" s="16" t="str">
        <f t="shared" si="0"/>
        <v>Mar</v>
      </c>
      <c r="M54" s="17" t="str">
        <f t="shared" si="1"/>
        <v>Mon</v>
      </c>
      <c r="N54" s="17" t="str">
        <f t="shared" si="2"/>
        <v>Correct</v>
      </c>
    </row>
    <row r="55" spans="1:14" x14ac:dyDescent="0.25">
      <c r="A55" s="13" t="s">
        <v>126</v>
      </c>
      <c r="B55" s="14" t="s">
        <v>115</v>
      </c>
      <c r="C55" s="13" t="s">
        <v>37</v>
      </c>
      <c r="D55" s="13" t="s">
        <v>22</v>
      </c>
      <c r="E55" s="15">
        <v>150</v>
      </c>
      <c r="F55" s="15">
        <v>3</v>
      </c>
      <c r="G55" s="15">
        <v>450</v>
      </c>
      <c r="H55" s="13" t="s">
        <v>57</v>
      </c>
      <c r="I55" s="13" t="s">
        <v>51</v>
      </c>
      <c r="J55" s="13" t="s">
        <v>65</v>
      </c>
      <c r="K55" s="13" t="s">
        <v>25</v>
      </c>
      <c r="L55" s="16" t="str">
        <f t="shared" si="0"/>
        <v>Mar</v>
      </c>
      <c r="M55" s="17" t="str">
        <f t="shared" si="1"/>
        <v>Sat</v>
      </c>
      <c r="N55" s="17" t="str">
        <f t="shared" si="2"/>
        <v>Correct</v>
      </c>
    </row>
    <row r="56" spans="1:14" x14ac:dyDescent="0.25">
      <c r="A56" s="13" t="s">
        <v>127</v>
      </c>
      <c r="B56" s="14" t="s">
        <v>115</v>
      </c>
      <c r="C56" s="13" t="s">
        <v>60</v>
      </c>
      <c r="D56" s="13" t="s">
        <v>40</v>
      </c>
      <c r="E56" s="15">
        <v>40</v>
      </c>
      <c r="F56" s="15">
        <v>2</v>
      </c>
      <c r="G56" s="15">
        <v>80</v>
      </c>
      <c r="H56" s="13" t="s">
        <v>48</v>
      </c>
      <c r="I56" s="13" t="s">
        <v>34</v>
      </c>
      <c r="J56" s="13" t="s">
        <v>44</v>
      </c>
      <c r="K56" s="13" t="s">
        <v>45</v>
      </c>
      <c r="L56" s="16" t="str">
        <f t="shared" si="0"/>
        <v>Mar</v>
      </c>
      <c r="M56" s="17" t="str">
        <f t="shared" si="1"/>
        <v>Sat</v>
      </c>
      <c r="N56" s="17" t="str">
        <f t="shared" si="2"/>
        <v>Correct</v>
      </c>
    </row>
    <row r="57" spans="1:14" x14ac:dyDescent="0.25">
      <c r="A57" s="13" t="s">
        <v>128</v>
      </c>
      <c r="B57" s="14" t="s">
        <v>129</v>
      </c>
      <c r="C57" s="13" t="s">
        <v>37</v>
      </c>
      <c r="D57" s="13" t="s">
        <v>22</v>
      </c>
      <c r="E57" s="15">
        <v>150</v>
      </c>
      <c r="F57" s="15">
        <v>2</v>
      </c>
      <c r="G57" s="15">
        <v>300</v>
      </c>
      <c r="H57" s="13" t="s">
        <v>15</v>
      </c>
      <c r="I57" s="13" t="s">
        <v>34</v>
      </c>
      <c r="J57" s="13" t="s">
        <v>35</v>
      </c>
      <c r="K57" s="13" t="s">
        <v>45</v>
      </c>
      <c r="L57" s="16" t="str">
        <f t="shared" si="0"/>
        <v>Mar</v>
      </c>
      <c r="M57" s="17" t="str">
        <f t="shared" si="1"/>
        <v>Wed</v>
      </c>
      <c r="N57" s="17" t="str">
        <f t="shared" si="2"/>
        <v>Correct</v>
      </c>
    </row>
    <row r="58" spans="1:14" x14ac:dyDescent="0.25">
      <c r="A58" s="13" t="s">
        <v>130</v>
      </c>
      <c r="B58" s="14" t="s">
        <v>115</v>
      </c>
      <c r="C58" s="13" t="s">
        <v>47</v>
      </c>
      <c r="D58" s="13" t="s">
        <v>22</v>
      </c>
      <c r="E58" s="15">
        <v>500</v>
      </c>
      <c r="F58" s="15">
        <v>1</v>
      </c>
      <c r="G58" s="15">
        <v>500</v>
      </c>
      <c r="H58" s="13" t="s">
        <v>93</v>
      </c>
      <c r="I58" s="13" t="s">
        <v>77</v>
      </c>
      <c r="J58" s="13" t="s">
        <v>17</v>
      </c>
      <c r="K58" s="13" t="s">
        <v>18</v>
      </c>
      <c r="L58" s="16" t="str">
        <f t="shared" si="0"/>
        <v>Mar</v>
      </c>
      <c r="M58" s="17" t="str">
        <f t="shared" si="1"/>
        <v>Sat</v>
      </c>
      <c r="N58" s="17" t="str">
        <f t="shared" si="2"/>
        <v>Correct</v>
      </c>
    </row>
    <row r="59" spans="1:14" x14ac:dyDescent="0.25">
      <c r="A59" s="13" t="s">
        <v>131</v>
      </c>
      <c r="B59" s="14" t="s">
        <v>59</v>
      </c>
      <c r="C59" s="13" t="s">
        <v>47</v>
      </c>
      <c r="D59" s="13" t="s">
        <v>22</v>
      </c>
      <c r="E59" s="15">
        <v>500</v>
      </c>
      <c r="F59" s="15">
        <v>1</v>
      </c>
      <c r="G59" s="15">
        <v>500</v>
      </c>
      <c r="H59" s="13" t="s">
        <v>93</v>
      </c>
      <c r="I59" s="13" t="s">
        <v>94</v>
      </c>
      <c r="J59" s="13" t="s">
        <v>44</v>
      </c>
      <c r="K59" s="13" t="s">
        <v>18</v>
      </c>
      <c r="L59" s="16" t="str">
        <f t="shared" si="0"/>
        <v>Mar</v>
      </c>
      <c r="M59" s="17" t="str">
        <f t="shared" si="1"/>
        <v>Thu</v>
      </c>
      <c r="N59" s="17" t="str">
        <f t="shared" si="2"/>
        <v>Correct</v>
      </c>
    </row>
    <row r="60" spans="1:14" x14ac:dyDescent="0.25">
      <c r="A60" s="13" t="s">
        <v>132</v>
      </c>
      <c r="B60" s="14">
        <v>45661</v>
      </c>
      <c r="C60" s="13" t="s">
        <v>37</v>
      </c>
      <c r="D60" s="13" t="s">
        <v>22</v>
      </c>
      <c r="E60" s="15">
        <v>150</v>
      </c>
      <c r="F60" s="15">
        <v>2</v>
      </c>
      <c r="G60" s="15">
        <v>300</v>
      </c>
      <c r="H60" s="13" t="s">
        <v>64</v>
      </c>
      <c r="I60" s="13" t="s">
        <v>34</v>
      </c>
      <c r="J60" s="13" t="s">
        <v>35</v>
      </c>
      <c r="K60" s="13" t="s">
        <v>18</v>
      </c>
      <c r="L60" s="16" t="str">
        <f t="shared" si="0"/>
        <v>Jan</v>
      </c>
      <c r="M60" s="17" t="str">
        <f t="shared" si="1"/>
        <v>Sat</v>
      </c>
      <c r="N60" s="17" t="str">
        <f t="shared" si="2"/>
        <v>Correct</v>
      </c>
    </row>
    <row r="61" spans="1:14" x14ac:dyDescent="0.25">
      <c r="A61" s="13" t="s">
        <v>133</v>
      </c>
      <c r="B61" s="14">
        <v>45994</v>
      </c>
      <c r="C61" s="13" t="s">
        <v>55</v>
      </c>
      <c r="D61" s="13" t="s">
        <v>56</v>
      </c>
      <c r="E61" s="15">
        <v>15</v>
      </c>
      <c r="F61" s="15">
        <v>5</v>
      </c>
      <c r="G61" s="15">
        <v>75</v>
      </c>
      <c r="H61" s="13" t="s">
        <v>93</v>
      </c>
      <c r="I61" s="13" t="s">
        <v>34</v>
      </c>
      <c r="J61" s="13" t="s">
        <v>35</v>
      </c>
      <c r="K61" s="13" t="s">
        <v>25</v>
      </c>
      <c r="L61" s="16" t="str">
        <f t="shared" si="0"/>
        <v>Dec</v>
      </c>
      <c r="M61" s="17" t="str">
        <f t="shared" si="1"/>
        <v>Wed</v>
      </c>
      <c r="N61" s="17" t="str">
        <f t="shared" si="2"/>
        <v>Correct</v>
      </c>
    </row>
    <row r="62" spans="1:14" x14ac:dyDescent="0.25">
      <c r="A62" s="13" t="s">
        <v>134</v>
      </c>
      <c r="B62" s="14">
        <v>45964</v>
      </c>
      <c r="C62" s="13" t="s">
        <v>74</v>
      </c>
      <c r="D62" s="13" t="s">
        <v>68</v>
      </c>
      <c r="E62" s="15">
        <v>1200</v>
      </c>
      <c r="F62" s="15">
        <v>1</v>
      </c>
      <c r="G62" s="15">
        <v>1200</v>
      </c>
      <c r="H62" s="13" t="s">
        <v>93</v>
      </c>
      <c r="I62" s="13" t="s">
        <v>16</v>
      </c>
      <c r="J62" s="13" t="s">
        <v>44</v>
      </c>
      <c r="K62" s="13" t="s">
        <v>18</v>
      </c>
      <c r="L62" s="16" t="str">
        <f t="shared" si="0"/>
        <v>Nov</v>
      </c>
      <c r="M62" s="17" t="str">
        <f t="shared" si="1"/>
        <v>Mon</v>
      </c>
      <c r="N62" s="17" t="str">
        <f t="shared" si="2"/>
        <v>Correct</v>
      </c>
    </row>
    <row r="63" spans="1:14" x14ac:dyDescent="0.25">
      <c r="A63" s="13" t="s">
        <v>135</v>
      </c>
      <c r="B63" s="14">
        <v>45932</v>
      </c>
      <c r="C63" s="13" t="s">
        <v>63</v>
      </c>
      <c r="D63" s="13" t="s">
        <v>22</v>
      </c>
      <c r="E63" s="15">
        <v>800</v>
      </c>
      <c r="F63" s="15">
        <v>5</v>
      </c>
      <c r="G63" s="15">
        <v>4000</v>
      </c>
      <c r="H63" s="13" t="s">
        <v>33</v>
      </c>
      <c r="I63" s="13" t="s">
        <v>24</v>
      </c>
      <c r="J63" s="13" t="s">
        <v>44</v>
      </c>
      <c r="K63" s="13" t="s">
        <v>45</v>
      </c>
      <c r="L63" s="16" t="str">
        <f t="shared" si="0"/>
        <v>Oct</v>
      </c>
      <c r="M63" s="17" t="str">
        <f t="shared" si="1"/>
        <v>Thu</v>
      </c>
      <c r="N63" s="17" t="str">
        <f t="shared" si="2"/>
        <v>Correct</v>
      </c>
    </row>
    <row r="64" spans="1:14" x14ac:dyDescent="0.25">
      <c r="A64" s="13" t="s">
        <v>136</v>
      </c>
      <c r="B64" s="14" t="s">
        <v>137</v>
      </c>
      <c r="C64" s="13" t="s">
        <v>47</v>
      </c>
      <c r="D64" s="13" t="s">
        <v>22</v>
      </c>
      <c r="E64" s="15">
        <v>500</v>
      </c>
      <c r="F64" s="15">
        <v>5</v>
      </c>
      <c r="G64" s="15">
        <v>2500</v>
      </c>
      <c r="H64" s="13" t="s">
        <v>15</v>
      </c>
      <c r="I64" s="13" t="s">
        <v>49</v>
      </c>
      <c r="J64" s="13" t="s">
        <v>65</v>
      </c>
      <c r="K64" s="13" t="s">
        <v>45</v>
      </c>
      <c r="L64" s="16" t="str">
        <f t="shared" si="0"/>
        <v>Mar</v>
      </c>
      <c r="M64" s="17" t="str">
        <f t="shared" si="1"/>
        <v>Sun</v>
      </c>
      <c r="N64" s="17" t="str">
        <f t="shared" si="2"/>
        <v>Correct</v>
      </c>
    </row>
    <row r="65" spans="1:14" x14ac:dyDescent="0.25">
      <c r="A65" s="13" t="s">
        <v>138</v>
      </c>
      <c r="B65" s="14" t="s">
        <v>139</v>
      </c>
      <c r="C65" s="13" t="s">
        <v>74</v>
      </c>
      <c r="D65" s="13" t="s">
        <v>68</v>
      </c>
      <c r="E65" s="15">
        <v>1200</v>
      </c>
      <c r="F65" s="15">
        <v>4</v>
      </c>
      <c r="G65" s="15">
        <v>4800</v>
      </c>
      <c r="H65" s="13" t="s">
        <v>23</v>
      </c>
      <c r="I65" s="13" t="s">
        <v>29</v>
      </c>
      <c r="J65" s="13" t="s">
        <v>44</v>
      </c>
      <c r="K65" s="13" t="s">
        <v>25</v>
      </c>
      <c r="L65" s="16" t="str">
        <f t="shared" si="0"/>
        <v>Feb</v>
      </c>
      <c r="M65" s="17" t="str">
        <f t="shared" si="1"/>
        <v>Thu</v>
      </c>
      <c r="N65" s="17" t="str">
        <f t="shared" si="2"/>
        <v>Correct</v>
      </c>
    </row>
    <row r="66" spans="1:14" x14ac:dyDescent="0.25">
      <c r="A66" s="13" t="s">
        <v>140</v>
      </c>
      <c r="B66" s="14" t="s">
        <v>141</v>
      </c>
      <c r="C66" s="13" t="s">
        <v>55</v>
      </c>
      <c r="D66" s="13" t="s">
        <v>56</v>
      </c>
      <c r="E66" s="15">
        <v>15</v>
      </c>
      <c r="F66" s="15">
        <v>3</v>
      </c>
      <c r="G66" s="15">
        <v>45</v>
      </c>
      <c r="H66" s="13" t="s">
        <v>15</v>
      </c>
      <c r="I66" s="13" t="s">
        <v>24</v>
      </c>
      <c r="J66" s="13" t="s">
        <v>30</v>
      </c>
      <c r="K66" s="13" t="s">
        <v>25</v>
      </c>
      <c r="L66" s="16" t="str">
        <f t="shared" si="0"/>
        <v>Mar</v>
      </c>
      <c r="M66" s="17" t="str">
        <f t="shared" si="1"/>
        <v>Sun</v>
      </c>
      <c r="N66" s="17" t="str">
        <f t="shared" si="2"/>
        <v>Correct</v>
      </c>
    </row>
    <row r="67" spans="1:14" x14ac:dyDescent="0.25">
      <c r="A67" s="13" t="s">
        <v>142</v>
      </c>
      <c r="B67" s="14" t="s">
        <v>12</v>
      </c>
      <c r="C67" s="13" t="s">
        <v>37</v>
      </c>
      <c r="D67" s="13" t="s">
        <v>22</v>
      </c>
      <c r="E67" s="15">
        <v>150</v>
      </c>
      <c r="F67" s="15">
        <v>2</v>
      </c>
      <c r="G67" s="15">
        <v>300</v>
      </c>
      <c r="H67" s="13" t="s">
        <v>61</v>
      </c>
      <c r="I67" s="13" t="s">
        <v>29</v>
      </c>
      <c r="J67" s="13" t="s">
        <v>44</v>
      </c>
      <c r="K67" s="13" t="s">
        <v>25</v>
      </c>
      <c r="L67" s="16" t="str">
        <f t="shared" ref="L67:L130" si="3">TEXT(B67,"MMM")</f>
        <v>Mar</v>
      </c>
      <c r="M67" s="17" t="str">
        <f t="shared" ref="M67:M130" si="4">TEXT(B67,"DDD")</f>
        <v>Fri</v>
      </c>
      <c r="N67" s="17" t="str">
        <f t="shared" ref="N67:N130" si="5">IF(G67=E67*F67,"Correct","Error")</f>
        <v>Correct</v>
      </c>
    </row>
    <row r="68" spans="1:14" x14ac:dyDescent="0.25">
      <c r="A68" s="13" t="s">
        <v>143</v>
      </c>
      <c r="B68" s="14" t="s">
        <v>144</v>
      </c>
      <c r="C68" s="13" t="s">
        <v>21</v>
      </c>
      <c r="D68" s="13" t="s">
        <v>22</v>
      </c>
      <c r="E68" s="15">
        <v>100</v>
      </c>
      <c r="F68" s="15">
        <v>3</v>
      </c>
      <c r="G68" s="15">
        <v>300</v>
      </c>
      <c r="H68" s="13" t="s">
        <v>82</v>
      </c>
      <c r="I68" s="13" t="s">
        <v>16</v>
      </c>
      <c r="J68" s="13" t="s">
        <v>17</v>
      </c>
      <c r="K68" s="13" t="s">
        <v>25</v>
      </c>
      <c r="L68" s="16" t="str">
        <f t="shared" si="3"/>
        <v>Mar</v>
      </c>
      <c r="M68" s="17" t="str">
        <f t="shared" si="4"/>
        <v>Mon</v>
      </c>
      <c r="N68" s="17" t="str">
        <f t="shared" si="5"/>
        <v>Correct</v>
      </c>
    </row>
    <row r="69" spans="1:14" x14ac:dyDescent="0.25">
      <c r="A69" s="13" t="s">
        <v>145</v>
      </c>
      <c r="B69" s="14" t="s">
        <v>85</v>
      </c>
      <c r="C69" s="13" t="s">
        <v>21</v>
      </c>
      <c r="D69" s="13" t="s">
        <v>22</v>
      </c>
      <c r="E69" s="15">
        <v>100</v>
      </c>
      <c r="F69" s="15">
        <v>1</v>
      </c>
      <c r="G69" s="15">
        <v>100</v>
      </c>
      <c r="H69" s="13" t="s">
        <v>57</v>
      </c>
      <c r="I69" s="13" t="s">
        <v>43</v>
      </c>
      <c r="J69" s="13" t="s">
        <v>17</v>
      </c>
      <c r="K69" s="13" t="s">
        <v>18</v>
      </c>
      <c r="L69" s="16" t="str">
        <f t="shared" si="3"/>
        <v>Feb</v>
      </c>
      <c r="M69" s="17" t="str">
        <f t="shared" si="4"/>
        <v>Sun</v>
      </c>
      <c r="N69" s="17" t="str">
        <f t="shared" si="5"/>
        <v>Correct</v>
      </c>
    </row>
    <row r="70" spans="1:14" x14ac:dyDescent="0.25">
      <c r="A70" s="13" t="s">
        <v>146</v>
      </c>
      <c r="B70" s="14" t="s">
        <v>147</v>
      </c>
      <c r="C70" s="13" t="s">
        <v>74</v>
      </c>
      <c r="D70" s="13" t="s">
        <v>68</v>
      </c>
      <c r="E70" s="15">
        <v>1200</v>
      </c>
      <c r="F70" s="15">
        <v>4</v>
      </c>
      <c r="G70" s="15">
        <v>4800</v>
      </c>
      <c r="H70" s="13" t="s">
        <v>57</v>
      </c>
      <c r="I70" s="13" t="s">
        <v>51</v>
      </c>
      <c r="J70" s="13" t="s">
        <v>65</v>
      </c>
      <c r="K70" s="13" t="s">
        <v>25</v>
      </c>
      <c r="L70" s="16" t="str">
        <f t="shared" si="3"/>
        <v>Feb</v>
      </c>
      <c r="M70" s="17" t="str">
        <f t="shared" si="4"/>
        <v>Tue</v>
      </c>
      <c r="N70" s="17" t="str">
        <f t="shared" si="5"/>
        <v>Correct</v>
      </c>
    </row>
    <row r="71" spans="1:14" x14ac:dyDescent="0.25">
      <c r="A71" s="13" t="s">
        <v>148</v>
      </c>
      <c r="B71" s="14">
        <v>45933</v>
      </c>
      <c r="C71" s="13" t="s">
        <v>55</v>
      </c>
      <c r="D71" s="13" t="s">
        <v>56</v>
      </c>
      <c r="E71" s="15">
        <v>15</v>
      </c>
      <c r="F71" s="15">
        <v>1</v>
      </c>
      <c r="G71" s="15">
        <v>15</v>
      </c>
      <c r="H71" s="13" t="s">
        <v>23</v>
      </c>
      <c r="I71" s="13" t="s">
        <v>51</v>
      </c>
      <c r="J71" s="13" t="s">
        <v>35</v>
      </c>
      <c r="K71" s="13" t="s">
        <v>45</v>
      </c>
      <c r="L71" s="16" t="str">
        <f t="shared" si="3"/>
        <v>Oct</v>
      </c>
      <c r="M71" s="17" t="str">
        <f t="shared" si="4"/>
        <v>Fri</v>
      </c>
      <c r="N71" s="17" t="str">
        <f t="shared" si="5"/>
        <v>Correct</v>
      </c>
    </row>
    <row r="72" spans="1:14" x14ac:dyDescent="0.25">
      <c r="A72" s="13" t="s">
        <v>149</v>
      </c>
      <c r="B72" s="14" t="s">
        <v>141</v>
      </c>
      <c r="C72" s="13" t="s">
        <v>37</v>
      </c>
      <c r="D72" s="13" t="s">
        <v>22</v>
      </c>
      <c r="E72" s="15">
        <v>150</v>
      </c>
      <c r="F72" s="15">
        <v>5</v>
      </c>
      <c r="G72" s="15">
        <v>750</v>
      </c>
      <c r="H72" s="13" t="s">
        <v>28</v>
      </c>
      <c r="I72" s="13" t="s">
        <v>29</v>
      </c>
      <c r="J72" s="13" t="s">
        <v>35</v>
      </c>
      <c r="K72" s="13" t="s">
        <v>25</v>
      </c>
      <c r="L72" s="16" t="str">
        <f t="shared" si="3"/>
        <v>Mar</v>
      </c>
      <c r="M72" s="17" t="str">
        <f t="shared" si="4"/>
        <v>Sun</v>
      </c>
      <c r="N72" s="17" t="str">
        <f t="shared" si="5"/>
        <v>Correct</v>
      </c>
    </row>
    <row r="73" spans="1:14" x14ac:dyDescent="0.25">
      <c r="A73" s="13" t="s">
        <v>150</v>
      </c>
      <c r="B73" s="14">
        <v>45841</v>
      </c>
      <c r="C73" s="13" t="s">
        <v>63</v>
      </c>
      <c r="D73" s="13" t="s">
        <v>22</v>
      </c>
      <c r="E73" s="15">
        <v>800</v>
      </c>
      <c r="F73" s="15">
        <v>3</v>
      </c>
      <c r="G73" s="15">
        <v>2400</v>
      </c>
      <c r="H73" s="13" t="s">
        <v>64</v>
      </c>
      <c r="I73" s="13" t="s">
        <v>43</v>
      </c>
      <c r="J73" s="13" t="s">
        <v>35</v>
      </c>
      <c r="K73" s="13" t="s">
        <v>25</v>
      </c>
      <c r="L73" s="16" t="str">
        <f t="shared" si="3"/>
        <v>Jul</v>
      </c>
      <c r="M73" s="17" t="str">
        <f t="shared" si="4"/>
        <v>Thu</v>
      </c>
      <c r="N73" s="17" t="str">
        <f t="shared" si="5"/>
        <v>Correct</v>
      </c>
    </row>
    <row r="74" spans="1:14" x14ac:dyDescent="0.25">
      <c r="A74" s="13" t="s">
        <v>151</v>
      </c>
      <c r="B74" s="14" t="s">
        <v>70</v>
      </c>
      <c r="C74" s="13" t="s">
        <v>47</v>
      </c>
      <c r="D74" s="13" t="s">
        <v>22</v>
      </c>
      <c r="E74" s="15">
        <v>500</v>
      </c>
      <c r="F74" s="15">
        <v>5</v>
      </c>
      <c r="G74" s="15">
        <v>2500</v>
      </c>
      <c r="H74" s="13" t="s">
        <v>23</v>
      </c>
      <c r="I74" s="13" t="s">
        <v>49</v>
      </c>
      <c r="J74" s="13" t="s">
        <v>35</v>
      </c>
      <c r="K74" s="13" t="s">
        <v>18</v>
      </c>
      <c r="L74" s="16" t="str">
        <f t="shared" si="3"/>
        <v>Feb</v>
      </c>
      <c r="M74" s="17" t="str">
        <f t="shared" si="4"/>
        <v>Thu</v>
      </c>
      <c r="N74" s="17" t="str">
        <f t="shared" si="5"/>
        <v>Correct</v>
      </c>
    </row>
    <row r="75" spans="1:14" x14ac:dyDescent="0.25">
      <c r="A75" s="13" t="s">
        <v>152</v>
      </c>
      <c r="B75" s="14" t="s">
        <v>153</v>
      </c>
      <c r="C75" s="13" t="s">
        <v>74</v>
      </c>
      <c r="D75" s="13" t="s">
        <v>68</v>
      </c>
      <c r="E75" s="15">
        <v>1200</v>
      </c>
      <c r="F75" s="15">
        <v>4</v>
      </c>
      <c r="G75" s="15">
        <v>4800</v>
      </c>
      <c r="H75" s="13" t="s">
        <v>93</v>
      </c>
      <c r="I75" s="13" t="s">
        <v>34</v>
      </c>
      <c r="J75" s="13" t="s">
        <v>65</v>
      </c>
      <c r="K75" s="13" t="s">
        <v>18</v>
      </c>
      <c r="L75" s="16" t="str">
        <f t="shared" si="3"/>
        <v>Mar</v>
      </c>
      <c r="M75" s="17" t="str">
        <f t="shared" si="4"/>
        <v>Tue</v>
      </c>
      <c r="N75" s="17" t="str">
        <f t="shared" si="5"/>
        <v>Correct</v>
      </c>
    </row>
    <row r="76" spans="1:14" x14ac:dyDescent="0.25">
      <c r="A76" s="13" t="s">
        <v>154</v>
      </c>
      <c r="B76" s="14" t="s">
        <v>73</v>
      </c>
      <c r="C76" s="13" t="s">
        <v>21</v>
      </c>
      <c r="D76" s="13" t="s">
        <v>22</v>
      </c>
      <c r="E76" s="15">
        <v>100</v>
      </c>
      <c r="F76" s="15">
        <v>2</v>
      </c>
      <c r="G76" s="15">
        <v>200</v>
      </c>
      <c r="H76" s="13" t="s">
        <v>64</v>
      </c>
      <c r="I76" s="13" t="s">
        <v>51</v>
      </c>
      <c r="J76" s="13" t="s">
        <v>44</v>
      </c>
      <c r="K76" s="13" t="s">
        <v>25</v>
      </c>
      <c r="L76" s="16" t="str">
        <f t="shared" si="3"/>
        <v>Feb</v>
      </c>
      <c r="M76" s="17" t="str">
        <f t="shared" si="4"/>
        <v>Wed</v>
      </c>
      <c r="N76" s="17" t="str">
        <f t="shared" si="5"/>
        <v>Correct</v>
      </c>
    </row>
    <row r="77" spans="1:14" x14ac:dyDescent="0.25">
      <c r="A77" s="13" t="s">
        <v>155</v>
      </c>
      <c r="B77" s="14" t="s">
        <v>124</v>
      </c>
      <c r="C77" s="13" t="s">
        <v>67</v>
      </c>
      <c r="D77" s="13" t="s">
        <v>68</v>
      </c>
      <c r="E77" s="15">
        <v>600</v>
      </c>
      <c r="F77" s="15">
        <v>1</v>
      </c>
      <c r="G77" s="15">
        <v>600</v>
      </c>
      <c r="H77" s="13" t="s">
        <v>93</v>
      </c>
      <c r="I77" s="13" t="s">
        <v>34</v>
      </c>
      <c r="J77" s="13" t="s">
        <v>30</v>
      </c>
      <c r="K77" s="13" t="s">
        <v>45</v>
      </c>
      <c r="L77" s="16" t="str">
        <f t="shared" si="3"/>
        <v>Feb</v>
      </c>
      <c r="M77" s="17" t="str">
        <f t="shared" si="4"/>
        <v>Mon</v>
      </c>
      <c r="N77" s="17" t="str">
        <f t="shared" si="5"/>
        <v>Correct</v>
      </c>
    </row>
    <row r="78" spans="1:14" x14ac:dyDescent="0.25">
      <c r="A78" s="13" t="s">
        <v>156</v>
      </c>
      <c r="B78" s="14" t="s">
        <v>20</v>
      </c>
      <c r="C78" s="13" t="s">
        <v>21</v>
      </c>
      <c r="D78" s="13" t="s">
        <v>22</v>
      </c>
      <c r="E78" s="15">
        <v>100</v>
      </c>
      <c r="F78" s="15">
        <v>2</v>
      </c>
      <c r="G78" s="15">
        <v>200</v>
      </c>
      <c r="H78" s="13" t="s">
        <v>64</v>
      </c>
      <c r="I78" s="13" t="s">
        <v>43</v>
      </c>
      <c r="J78" s="13" t="s">
        <v>35</v>
      </c>
      <c r="K78" s="13" t="s">
        <v>45</v>
      </c>
      <c r="L78" s="16" t="str">
        <f t="shared" si="3"/>
        <v>Mar</v>
      </c>
      <c r="M78" s="17" t="str">
        <f t="shared" si="4"/>
        <v>Thu</v>
      </c>
      <c r="N78" s="17" t="str">
        <f t="shared" si="5"/>
        <v>Correct</v>
      </c>
    </row>
    <row r="79" spans="1:14" x14ac:dyDescent="0.25">
      <c r="A79" s="13" t="s">
        <v>157</v>
      </c>
      <c r="B79" s="14" t="s">
        <v>42</v>
      </c>
      <c r="C79" s="13" t="s">
        <v>37</v>
      </c>
      <c r="D79" s="13" t="s">
        <v>22</v>
      </c>
      <c r="E79" s="15">
        <v>150</v>
      </c>
      <c r="F79" s="15">
        <v>2</v>
      </c>
      <c r="G79" s="15">
        <v>300</v>
      </c>
      <c r="H79" s="13" t="s">
        <v>15</v>
      </c>
      <c r="I79" s="13" t="s">
        <v>77</v>
      </c>
      <c r="J79" s="13" t="s">
        <v>65</v>
      </c>
      <c r="K79" s="13" t="s">
        <v>18</v>
      </c>
      <c r="L79" s="16" t="str">
        <f t="shared" si="3"/>
        <v>Mar</v>
      </c>
      <c r="M79" s="17" t="str">
        <f t="shared" si="4"/>
        <v>Tue</v>
      </c>
      <c r="N79" s="17" t="str">
        <f t="shared" si="5"/>
        <v>Correct</v>
      </c>
    </row>
    <row r="80" spans="1:14" x14ac:dyDescent="0.25">
      <c r="A80" s="13" t="s">
        <v>158</v>
      </c>
      <c r="B80" s="14">
        <v>45903</v>
      </c>
      <c r="C80" s="13" t="s">
        <v>13</v>
      </c>
      <c r="D80" s="13" t="s">
        <v>14</v>
      </c>
      <c r="E80" s="15">
        <v>60</v>
      </c>
      <c r="F80" s="15">
        <v>2</v>
      </c>
      <c r="G80" s="15">
        <v>120</v>
      </c>
      <c r="H80" s="13" t="s">
        <v>23</v>
      </c>
      <c r="I80" s="13" t="s">
        <v>29</v>
      </c>
      <c r="J80" s="13" t="s">
        <v>65</v>
      </c>
      <c r="K80" s="13" t="s">
        <v>18</v>
      </c>
      <c r="L80" s="16" t="str">
        <f t="shared" si="3"/>
        <v>Sep</v>
      </c>
      <c r="M80" s="17" t="str">
        <f t="shared" si="4"/>
        <v>Wed</v>
      </c>
      <c r="N80" s="17" t="str">
        <f t="shared" si="5"/>
        <v>Correct</v>
      </c>
    </row>
    <row r="81" spans="1:14" x14ac:dyDescent="0.25">
      <c r="A81" s="13" t="s">
        <v>159</v>
      </c>
      <c r="B81" s="14" t="s">
        <v>85</v>
      </c>
      <c r="C81" s="13" t="s">
        <v>13</v>
      </c>
      <c r="D81" s="13" t="s">
        <v>14</v>
      </c>
      <c r="E81" s="15">
        <v>60</v>
      </c>
      <c r="F81" s="15">
        <v>4</v>
      </c>
      <c r="G81" s="15">
        <v>240</v>
      </c>
      <c r="H81" s="13" t="s">
        <v>48</v>
      </c>
      <c r="I81" s="13" t="s">
        <v>24</v>
      </c>
      <c r="J81" s="13" t="s">
        <v>17</v>
      </c>
      <c r="K81" s="13" t="s">
        <v>25</v>
      </c>
      <c r="L81" s="16" t="str">
        <f t="shared" si="3"/>
        <v>Feb</v>
      </c>
      <c r="M81" s="17" t="str">
        <f t="shared" si="4"/>
        <v>Sun</v>
      </c>
      <c r="N81" s="17" t="str">
        <f t="shared" si="5"/>
        <v>Correct</v>
      </c>
    </row>
    <row r="82" spans="1:14" x14ac:dyDescent="0.25">
      <c r="A82" s="13" t="s">
        <v>160</v>
      </c>
      <c r="B82" s="14" t="s">
        <v>73</v>
      </c>
      <c r="C82" s="13" t="s">
        <v>21</v>
      </c>
      <c r="D82" s="13" t="s">
        <v>22</v>
      </c>
      <c r="E82" s="15">
        <v>100</v>
      </c>
      <c r="F82" s="15">
        <v>3</v>
      </c>
      <c r="G82" s="15">
        <v>300</v>
      </c>
      <c r="H82" s="13" t="s">
        <v>61</v>
      </c>
      <c r="I82" s="13" t="s">
        <v>94</v>
      </c>
      <c r="J82" s="13" t="s">
        <v>44</v>
      </c>
      <c r="K82" s="13" t="s">
        <v>18</v>
      </c>
      <c r="L82" s="16" t="str">
        <f t="shared" si="3"/>
        <v>Feb</v>
      </c>
      <c r="M82" s="17" t="str">
        <f t="shared" si="4"/>
        <v>Wed</v>
      </c>
      <c r="N82" s="17" t="str">
        <f t="shared" si="5"/>
        <v>Correct</v>
      </c>
    </row>
    <row r="83" spans="1:14" x14ac:dyDescent="0.25">
      <c r="A83" s="13" t="s">
        <v>161</v>
      </c>
      <c r="B83" s="14" t="s">
        <v>124</v>
      </c>
      <c r="C83" s="13" t="s">
        <v>47</v>
      </c>
      <c r="D83" s="13" t="s">
        <v>22</v>
      </c>
      <c r="E83" s="15">
        <v>500</v>
      </c>
      <c r="F83" s="15">
        <v>3</v>
      </c>
      <c r="G83" s="15">
        <v>1500</v>
      </c>
      <c r="H83" s="13" t="s">
        <v>93</v>
      </c>
      <c r="I83" s="13" t="s">
        <v>71</v>
      </c>
      <c r="J83" s="13" t="s">
        <v>17</v>
      </c>
      <c r="K83" s="13" t="s">
        <v>18</v>
      </c>
      <c r="L83" s="16" t="str">
        <f t="shared" si="3"/>
        <v>Feb</v>
      </c>
      <c r="M83" s="17" t="str">
        <f t="shared" si="4"/>
        <v>Mon</v>
      </c>
      <c r="N83" s="17" t="str">
        <f t="shared" si="5"/>
        <v>Correct</v>
      </c>
    </row>
    <row r="84" spans="1:14" x14ac:dyDescent="0.25">
      <c r="A84" s="13" t="s">
        <v>162</v>
      </c>
      <c r="B84" s="14" t="s">
        <v>163</v>
      </c>
      <c r="C84" s="13" t="s">
        <v>67</v>
      </c>
      <c r="D84" s="13" t="s">
        <v>68</v>
      </c>
      <c r="E84" s="15">
        <v>600</v>
      </c>
      <c r="F84" s="15">
        <v>4</v>
      </c>
      <c r="G84" s="15">
        <v>2400</v>
      </c>
      <c r="H84" s="13" t="s">
        <v>15</v>
      </c>
      <c r="I84" s="13" t="s">
        <v>43</v>
      </c>
      <c r="J84" s="13" t="s">
        <v>65</v>
      </c>
      <c r="K84" s="13" t="s">
        <v>18</v>
      </c>
      <c r="L84" s="16" t="str">
        <f t="shared" si="3"/>
        <v>Feb</v>
      </c>
      <c r="M84" s="17" t="str">
        <f t="shared" si="4"/>
        <v>Fri</v>
      </c>
      <c r="N84" s="17" t="str">
        <f t="shared" si="5"/>
        <v>Correct</v>
      </c>
    </row>
    <row r="85" spans="1:14" x14ac:dyDescent="0.25">
      <c r="A85" s="13" t="s">
        <v>164</v>
      </c>
      <c r="B85" s="14" t="s">
        <v>90</v>
      </c>
      <c r="C85" s="13" t="s">
        <v>39</v>
      </c>
      <c r="D85" s="13" t="s">
        <v>40</v>
      </c>
      <c r="E85" s="15">
        <v>20</v>
      </c>
      <c r="F85" s="15">
        <v>5</v>
      </c>
      <c r="G85" s="15">
        <v>100</v>
      </c>
      <c r="H85" s="13" t="s">
        <v>33</v>
      </c>
      <c r="I85" s="13" t="s">
        <v>51</v>
      </c>
      <c r="J85" s="13" t="s">
        <v>44</v>
      </c>
      <c r="K85" s="13" t="s">
        <v>45</v>
      </c>
      <c r="L85" s="16" t="str">
        <f t="shared" si="3"/>
        <v>Feb</v>
      </c>
      <c r="M85" s="17" t="str">
        <f t="shared" si="4"/>
        <v>Fri</v>
      </c>
      <c r="N85" s="17" t="str">
        <f t="shared" si="5"/>
        <v>Correct</v>
      </c>
    </row>
    <row r="86" spans="1:14" x14ac:dyDescent="0.25">
      <c r="A86" s="13" t="s">
        <v>165</v>
      </c>
      <c r="B86" s="14">
        <v>45810</v>
      </c>
      <c r="C86" s="13" t="s">
        <v>47</v>
      </c>
      <c r="D86" s="13" t="s">
        <v>22</v>
      </c>
      <c r="E86" s="15">
        <v>500</v>
      </c>
      <c r="F86" s="15">
        <v>5</v>
      </c>
      <c r="G86" s="15">
        <v>2500</v>
      </c>
      <c r="H86" s="13" t="s">
        <v>61</v>
      </c>
      <c r="I86" s="13" t="s">
        <v>43</v>
      </c>
      <c r="J86" s="13" t="s">
        <v>44</v>
      </c>
      <c r="K86" s="13" t="s">
        <v>45</v>
      </c>
      <c r="L86" s="16" t="str">
        <f t="shared" si="3"/>
        <v>Jun</v>
      </c>
      <c r="M86" s="17" t="str">
        <f t="shared" si="4"/>
        <v>Mon</v>
      </c>
      <c r="N86" s="17" t="str">
        <f t="shared" si="5"/>
        <v>Correct</v>
      </c>
    </row>
    <row r="87" spans="1:14" x14ac:dyDescent="0.25">
      <c r="A87" s="13" t="s">
        <v>166</v>
      </c>
      <c r="B87" s="14" t="s">
        <v>147</v>
      </c>
      <c r="C87" s="13" t="s">
        <v>37</v>
      </c>
      <c r="D87" s="13" t="s">
        <v>22</v>
      </c>
      <c r="E87" s="15">
        <v>150</v>
      </c>
      <c r="F87" s="15">
        <v>5</v>
      </c>
      <c r="G87" s="15">
        <v>750</v>
      </c>
      <c r="H87" s="13" t="s">
        <v>93</v>
      </c>
      <c r="I87" s="13" t="s">
        <v>34</v>
      </c>
      <c r="J87" s="13" t="s">
        <v>44</v>
      </c>
      <c r="K87" s="13" t="s">
        <v>18</v>
      </c>
      <c r="L87" s="16" t="str">
        <f t="shared" si="3"/>
        <v>Feb</v>
      </c>
      <c r="M87" s="17" t="str">
        <f t="shared" si="4"/>
        <v>Tue</v>
      </c>
      <c r="N87" s="17" t="str">
        <f t="shared" si="5"/>
        <v>Correct</v>
      </c>
    </row>
    <row r="88" spans="1:14" x14ac:dyDescent="0.25">
      <c r="A88" s="13" t="s">
        <v>167</v>
      </c>
      <c r="B88" s="14" t="s">
        <v>59</v>
      </c>
      <c r="C88" s="13" t="s">
        <v>13</v>
      </c>
      <c r="D88" s="13" t="s">
        <v>14</v>
      </c>
      <c r="E88" s="15">
        <v>60</v>
      </c>
      <c r="F88" s="15">
        <v>5</v>
      </c>
      <c r="G88" s="15">
        <v>300</v>
      </c>
      <c r="H88" s="13" t="s">
        <v>15</v>
      </c>
      <c r="I88" s="13" t="s">
        <v>49</v>
      </c>
      <c r="J88" s="13" t="s">
        <v>17</v>
      </c>
      <c r="K88" s="13" t="s">
        <v>45</v>
      </c>
      <c r="L88" s="16" t="str">
        <f t="shared" si="3"/>
        <v>Mar</v>
      </c>
      <c r="M88" s="17" t="str">
        <f t="shared" si="4"/>
        <v>Thu</v>
      </c>
      <c r="N88" s="17" t="str">
        <f t="shared" si="5"/>
        <v>Correct</v>
      </c>
    </row>
    <row r="89" spans="1:14" x14ac:dyDescent="0.25">
      <c r="A89" s="13" t="s">
        <v>168</v>
      </c>
      <c r="B89" s="14">
        <v>45810</v>
      </c>
      <c r="C89" s="13" t="s">
        <v>74</v>
      </c>
      <c r="D89" s="13" t="s">
        <v>68</v>
      </c>
      <c r="E89" s="15">
        <v>1200</v>
      </c>
      <c r="F89" s="15">
        <v>2</v>
      </c>
      <c r="G89" s="15">
        <v>2400</v>
      </c>
      <c r="H89" s="13" t="s">
        <v>82</v>
      </c>
      <c r="I89" s="13" t="s">
        <v>71</v>
      </c>
      <c r="J89" s="13" t="s">
        <v>17</v>
      </c>
      <c r="K89" s="13" t="s">
        <v>25</v>
      </c>
      <c r="L89" s="16" t="str">
        <f t="shared" si="3"/>
        <v>Jun</v>
      </c>
      <c r="M89" s="17" t="str">
        <f t="shared" si="4"/>
        <v>Mon</v>
      </c>
      <c r="N89" s="17" t="str">
        <f t="shared" si="5"/>
        <v>Correct</v>
      </c>
    </row>
    <row r="90" spans="1:14" x14ac:dyDescent="0.25">
      <c r="A90" s="13" t="s">
        <v>169</v>
      </c>
      <c r="B90" s="14" t="s">
        <v>106</v>
      </c>
      <c r="C90" s="13" t="s">
        <v>13</v>
      </c>
      <c r="D90" s="13" t="s">
        <v>14</v>
      </c>
      <c r="E90" s="15">
        <v>60</v>
      </c>
      <c r="F90" s="15">
        <v>5</v>
      </c>
      <c r="G90" s="15">
        <v>300</v>
      </c>
      <c r="H90" s="13" t="s">
        <v>15</v>
      </c>
      <c r="I90" s="13" t="s">
        <v>77</v>
      </c>
      <c r="J90" s="13" t="s">
        <v>35</v>
      </c>
      <c r="K90" s="13" t="s">
        <v>18</v>
      </c>
      <c r="L90" s="16" t="str">
        <f t="shared" si="3"/>
        <v>Mar</v>
      </c>
      <c r="M90" s="17" t="str">
        <f t="shared" si="4"/>
        <v>Wed</v>
      </c>
      <c r="N90" s="17" t="str">
        <f t="shared" si="5"/>
        <v>Correct</v>
      </c>
    </row>
    <row r="91" spans="1:14" x14ac:dyDescent="0.25">
      <c r="A91" s="13" t="s">
        <v>170</v>
      </c>
      <c r="B91" s="14" t="s">
        <v>87</v>
      </c>
      <c r="C91" s="13" t="s">
        <v>37</v>
      </c>
      <c r="D91" s="13" t="s">
        <v>22</v>
      </c>
      <c r="E91" s="15">
        <v>150</v>
      </c>
      <c r="F91" s="15">
        <v>5</v>
      </c>
      <c r="G91" s="15">
        <v>750</v>
      </c>
      <c r="H91" s="13" t="s">
        <v>23</v>
      </c>
      <c r="I91" s="13" t="s">
        <v>43</v>
      </c>
      <c r="J91" s="13" t="s">
        <v>30</v>
      </c>
      <c r="K91" s="13" t="s">
        <v>45</v>
      </c>
      <c r="L91" s="16" t="str">
        <f t="shared" si="3"/>
        <v>Mar</v>
      </c>
      <c r="M91" s="17" t="str">
        <f t="shared" si="4"/>
        <v>Mon</v>
      </c>
      <c r="N91" s="17" t="str">
        <f t="shared" si="5"/>
        <v>Correct</v>
      </c>
    </row>
    <row r="92" spans="1:14" x14ac:dyDescent="0.25">
      <c r="A92" s="13" t="s">
        <v>171</v>
      </c>
      <c r="B92" s="14">
        <v>45718</v>
      </c>
      <c r="C92" s="13" t="s">
        <v>63</v>
      </c>
      <c r="D92" s="13" t="s">
        <v>22</v>
      </c>
      <c r="E92" s="15">
        <v>800</v>
      </c>
      <c r="F92" s="15">
        <v>4</v>
      </c>
      <c r="G92" s="15">
        <v>3200</v>
      </c>
      <c r="H92" s="13" t="s">
        <v>64</v>
      </c>
      <c r="I92" s="13" t="s">
        <v>43</v>
      </c>
      <c r="J92" s="13" t="s">
        <v>65</v>
      </c>
      <c r="K92" s="13" t="s">
        <v>25</v>
      </c>
      <c r="L92" s="16" t="str">
        <f t="shared" si="3"/>
        <v>Mar</v>
      </c>
      <c r="M92" s="17" t="str">
        <f t="shared" si="4"/>
        <v>Sun</v>
      </c>
      <c r="N92" s="17" t="str">
        <f t="shared" si="5"/>
        <v>Correct</v>
      </c>
    </row>
    <row r="93" spans="1:14" x14ac:dyDescent="0.25">
      <c r="A93" s="13" t="s">
        <v>172</v>
      </c>
      <c r="B93" s="14" t="s">
        <v>115</v>
      </c>
      <c r="C93" s="13" t="s">
        <v>47</v>
      </c>
      <c r="D93" s="13" t="s">
        <v>22</v>
      </c>
      <c r="E93" s="15">
        <v>500</v>
      </c>
      <c r="F93" s="15">
        <v>2</v>
      </c>
      <c r="G93" s="15">
        <v>1000</v>
      </c>
      <c r="H93" s="13" t="s">
        <v>33</v>
      </c>
      <c r="I93" s="13" t="s">
        <v>51</v>
      </c>
      <c r="J93" s="13" t="s">
        <v>44</v>
      </c>
      <c r="K93" s="13" t="s">
        <v>18</v>
      </c>
      <c r="L93" s="16" t="str">
        <f t="shared" si="3"/>
        <v>Mar</v>
      </c>
      <c r="M93" s="17" t="str">
        <f t="shared" si="4"/>
        <v>Sat</v>
      </c>
      <c r="N93" s="17" t="str">
        <f t="shared" si="5"/>
        <v>Correct</v>
      </c>
    </row>
    <row r="94" spans="1:14" x14ac:dyDescent="0.25">
      <c r="A94" s="13" t="s">
        <v>173</v>
      </c>
      <c r="B94" s="14">
        <v>45811</v>
      </c>
      <c r="C94" s="13" t="s">
        <v>74</v>
      </c>
      <c r="D94" s="13" t="s">
        <v>68</v>
      </c>
      <c r="E94" s="15">
        <v>1200</v>
      </c>
      <c r="F94" s="15">
        <v>5</v>
      </c>
      <c r="G94" s="15">
        <v>6000</v>
      </c>
      <c r="H94" s="13" t="s">
        <v>57</v>
      </c>
      <c r="I94" s="13" t="s">
        <v>29</v>
      </c>
      <c r="J94" s="13" t="s">
        <v>44</v>
      </c>
      <c r="K94" s="13" t="s">
        <v>18</v>
      </c>
      <c r="L94" s="16" t="str">
        <f t="shared" si="3"/>
        <v>Jun</v>
      </c>
      <c r="M94" s="17" t="str">
        <f t="shared" si="4"/>
        <v>Tue</v>
      </c>
      <c r="N94" s="17" t="str">
        <f t="shared" si="5"/>
        <v>Correct</v>
      </c>
    </row>
    <row r="95" spans="1:14" x14ac:dyDescent="0.25">
      <c r="A95" s="13" t="s">
        <v>174</v>
      </c>
      <c r="B95" s="14" t="s">
        <v>153</v>
      </c>
      <c r="C95" s="13" t="s">
        <v>60</v>
      </c>
      <c r="D95" s="13" t="s">
        <v>40</v>
      </c>
      <c r="E95" s="15">
        <v>40</v>
      </c>
      <c r="F95" s="15">
        <v>5</v>
      </c>
      <c r="G95" s="15">
        <v>200</v>
      </c>
      <c r="H95" s="13" t="s">
        <v>64</v>
      </c>
      <c r="I95" s="13" t="s">
        <v>71</v>
      </c>
      <c r="J95" s="13" t="s">
        <v>35</v>
      </c>
      <c r="K95" s="13" t="s">
        <v>18</v>
      </c>
      <c r="L95" s="16" t="str">
        <f t="shared" si="3"/>
        <v>Mar</v>
      </c>
      <c r="M95" s="17" t="str">
        <f t="shared" si="4"/>
        <v>Tue</v>
      </c>
      <c r="N95" s="17" t="str">
        <f t="shared" si="5"/>
        <v>Correct</v>
      </c>
    </row>
    <row r="96" spans="1:14" x14ac:dyDescent="0.25">
      <c r="A96" s="13" t="s">
        <v>175</v>
      </c>
      <c r="B96" s="14" t="s">
        <v>54</v>
      </c>
      <c r="C96" s="13" t="s">
        <v>37</v>
      </c>
      <c r="D96" s="13" t="s">
        <v>22</v>
      </c>
      <c r="E96" s="15">
        <v>150</v>
      </c>
      <c r="F96" s="15">
        <v>4</v>
      </c>
      <c r="G96" s="15">
        <v>600</v>
      </c>
      <c r="H96" s="13" t="s">
        <v>82</v>
      </c>
      <c r="I96" s="13" t="s">
        <v>16</v>
      </c>
      <c r="J96" s="13" t="s">
        <v>17</v>
      </c>
      <c r="K96" s="13" t="s">
        <v>18</v>
      </c>
      <c r="L96" s="16" t="str">
        <f t="shared" si="3"/>
        <v>Feb</v>
      </c>
      <c r="M96" s="17" t="str">
        <f t="shared" si="4"/>
        <v>Mon</v>
      </c>
      <c r="N96" s="17" t="str">
        <f t="shared" si="5"/>
        <v>Correct</v>
      </c>
    </row>
    <row r="97" spans="1:14" x14ac:dyDescent="0.25">
      <c r="A97" s="13" t="s">
        <v>176</v>
      </c>
      <c r="B97" s="14" t="s">
        <v>137</v>
      </c>
      <c r="C97" s="13" t="s">
        <v>37</v>
      </c>
      <c r="D97" s="13" t="s">
        <v>22</v>
      </c>
      <c r="E97" s="15">
        <v>150</v>
      </c>
      <c r="F97" s="15">
        <v>3</v>
      </c>
      <c r="G97" s="15">
        <v>450</v>
      </c>
      <c r="H97" s="13" t="s">
        <v>93</v>
      </c>
      <c r="I97" s="13" t="s">
        <v>16</v>
      </c>
      <c r="J97" s="13" t="s">
        <v>30</v>
      </c>
      <c r="K97" s="13" t="s">
        <v>45</v>
      </c>
      <c r="L97" s="16" t="str">
        <f t="shared" si="3"/>
        <v>Mar</v>
      </c>
      <c r="M97" s="17" t="str">
        <f t="shared" si="4"/>
        <v>Sun</v>
      </c>
      <c r="N97" s="17" t="str">
        <f t="shared" si="5"/>
        <v>Correct</v>
      </c>
    </row>
    <row r="98" spans="1:14" x14ac:dyDescent="0.25">
      <c r="A98" s="13" t="s">
        <v>177</v>
      </c>
      <c r="B98" s="14" t="s">
        <v>153</v>
      </c>
      <c r="C98" s="13" t="s">
        <v>55</v>
      </c>
      <c r="D98" s="13" t="s">
        <v>56</v>
      </c>
      <c r="E98" s="15">
        <v>15</v>
      </c>
      <c r="F98" s="15">
        <v>5</v>
      </c>
      <c r="G98" s="15">
        <v>75</v>
      </c>
      <c r="H98" s="13" t="s">
        <v>33</v>
      </c>
      <c r="I98" s="13" t="s">
        <v>94</v>
      </c>
      <c r="J98" s="13" t="s">
        <v>30</v>
      </c>
      <c r="K98" s="13" t="s">
        <v>25</v>
      </c>
      <c r="L98" s="16" t="str">
        <f t="shared" si="3"/>
        <v>Mar</v>
      </c>
      <c r="M98" s="17" t="str">
        <f t="shared" si="4"/>
        <v>Tue</v>
      </c>
      <c r="N98" s="17" t="str">
        <f t="shared" si="5"/>
        <v>Correct</v>
      </c>
    </row>
    <row r="99" spans="1:14" x14ac:dyDescent="0.25">
      <c r="A99" s="13" t="s">
        <v>178</v>
      </c>
      <c r="B99" s="14" t="s">
        <v>90</v>
      </c>
      <c r="C99" s="13" t="s">
        <v>37</v>
      </c>
      <c r="D99" s="13" t="s">
        <v>22</v>
      </c>
      <c r="E99" s="15">
        <v>150</v>
      </c>
      <c r="F99" s="15">
        <v>2</v>
      </c>
      <c r="G99" s="15">
        <v>300</v>
      </c>
      <c r="H99" s="13" t="s">
        <v>82</v>
      </c>
      <c r="I99" s="13" t="s">
        <v>49</v>
      </c>
      <c r="J99" s="13" t="s">
        <v>44</v>
      </c>
      <c r="K99" s="13" t="s">
        <v>25</v>
      </c>
      <c r="L99" s="16" t="str">
        <f t="shared" si="3"/>
        <v>Feb</v>
      </c>
      <c r="M99" s="17" t="str">
        <f t="shared" si="4"/>
        <v>Fri</v>
      </c>
      <c r="N99" s="17" t="str">
        <f t="shared" si="5"/>
        <v>Correct</v>
      </c>
    </row>
    <row r="100" spans="1:14" x14ac:dyDescent="0.25">
      <c r="A100" s="13" t="s">
        <v>179</v>
      </c>
      <c r="B100" s="14" t="s">
        <v>120</v>
      </c>
      <c r="C100" s="13" t="s">
        <v>67</v>
      </c>
      <c r="D100" s="13" t="s">
        <v>68</v>
      </c>
      <c r="E100" s="15">
        <v>600</v>
      </c>
      <c r="F100" s="15">
        <v>5</v>
      </c>
      <c r="G100" s="15">
        <v>3000</v>
      </c>
      <c r="H100" s="13" t="s">
        <v>61</v>
      </c>
      <c r="I100" s="13" t="s">
        <v>71</v>
      </c>
      <c r="J100" s="13" t="s">
        <v>17</v>
      </c>
      <c r="K100" s="13" t="s">
        <v>45</v>
      </c>
      <c r="L100" s="16" t="str">
        <f t="shared" si="3"/>
        <v>Feb</v>
      </c>
      <c r="M100" s="17" t="str">
        <f t="shared" si="4"/>
        <v>Tue</v>
      </c>
      <c r="N100" s="17" t="str">
        <f t="shared" si="5"/>
        <v>Correct</v>
      </c>
    </row>
    <row r="101" spans="1:14" x14ac:dyDescent="0.25">
      <c r="A101" s="13" t="s">
        <v>180</v>
      </c>
      <c r="B101" s="14" t="s">
        <v>139</v>
      </c>
      <c r="C101" s="13" t="s">
        <v>13</v>
      </c>
      <c r="D101" s="13" t="s">
        <v>14</v>
      </c>
      <c r="E101" s="15">
        <v>60</v>
      </c>
      <c r="F101" s="15">
        <v>1</v>
      </c>
      <c r="G101" s="15">
        <v>60</v>
      </c>
      <c r="H101" s="13" t="s">
        <v>93</v>
      </c>
      <c r="I101" s="13" t="s">
        <v>43</v>
      </c>
      <c r="J101" s="13" t="s">
        <v>65</v>
      </c>
      <c r="K101" s="13" t="s">
        <v>18</v>
      </c>
      <c r="L101" s="16" t="str">
        <f t="shared" si="3"/>
        <v>Feb</v>
      </c>
      <c r="M101" s="17" t="str">
        <f t="shared" si="4"/>
        <v>Thu</v>
      </c>
      <c r="N101" s="17" t="str">
        <f t="shared" si="5"/>
        <v>Correct</v>
      </c>
    </row>
    <row r="102" spans="1:14" x14ac:dyDescent="0.25">
      <c r="A102" s="13" t="s">
        <v>181</v>
      </c>
      <c r="B102" s="14" t="s">
        <v>70</v>
      </c>
      <c r="C102" s="13" t="s">
        <v>55</v>
      </c>
      <c r="D102" s="13" t="s">
        <v>56</v>
      </c>
      <c r="E102" s="15">
        <v>15</v>
      </c>
      <c r="F102" s="15">
        <v>5</v>
      </c>
      <c r="G102" s="15">
        <v>75</v>
      </c>
      <c r="H102" s="13" t="s">
        <v>28</v>
      </c>
      <c r="I102" s="13" t="s">
        <v>29</v>
      </c>
      <c r="J102" s="13" t="s">
        <v>44</v>
      </c>
      <c r="K102" s="13" t="s">
        <v>25</v>
      </c>
      <c r="L102" s="16" t="str">
        <f t="shared" si="3"/>
        <v>Feb</v>
      </c>
      <c r="M102" s="17" t="str">
        <f t="shared" si="4"/>
        <v>Thu</v>
      </c>
      <c r="N102" s="17" t="str">
        <f t="shared" si="5"/>
        <v>Correct</v>
      </c>
    </row>
    <row r="103" spans="1:14" x14ac:dyDescent="0.25">
      <c r="A103" s="13" t="s">
        <v>182</v>
      </c>
      <c r="B103" s="14" t="s">
        <v>163</v>
      </c>
      <c r="C103" s="13" t="s">
        <v>47</v>
      </c>
      <c r="D103" s="13" t="s">
        <v>22</v>
      </c>
      <c r="E103" s="15">
        <v>500</v>
      </c>
      <c r="F103" s="15">
        <v>2</v>
      </c>
      <c r="G103" s="15">
        <v>1000</v>
      </c>
      <c r="H103" s="13" t="s">
        <v>57</v>
      </c>
      <c r="I103" s="13" t="s">
        <v>51</v>
      </c>
      <c r="J103" s="13" t="s">
        <v>44</v>
      </c>
      <c r="K103" s="13" t="s">
        <v>25</v>
      </c>
      <c r="L103" s="16" t="str">
        <f t="shared" si="3"/>
        <v>Feb</v>
      </c>
      <c r="M103" s="17" t="str">
        <f t="shared" si="4"/>
        <v>Fri</v>
      </c>
      <c r="N103" s="17" t="str">
        <f t="shared" si="5"/>
        <v>Correct</v>
      </c>
    </row>
    <row r="104" spans="1:14" x14ac:dyDescent="0.25">
      <c r="A104" s="13" t="s">
        <v>183</v>
      </c>
      <c r="B104" s="14" t="s">
        <v>12</v>
      </c>
      <c r="C104" s="13" t="s">
        <v>39</v>
      </c>
      <c r="D104" s="13" t="s">
        <v>40</v>
      </c>
      <c r="E104" s="15">
        <v>20</v>
      </c>
      <c r="F104" s="15">
        <v>2</v>
      </c>
      <c r="G104" s="15">
        <v>40</v>
      </c>
      <c r="H104" s="13" t="s">
        <v>61</v>
      </c>
      <c r="I104" s="13" t="s">
        <v>94</v>
      </c>
      <c r="J104" s="13" t="s">
        <v>44</v>
      </c>
      <c r="K104" s="13" t="s">
        <v>25</v>
      </c>
      <c r="L104" s="16" t="str">
        <f t="shared" si="3"/>
        <v>Mar</v>
      </c>
      <c r="M104" s="17" t="str">
        <f t="shared" si="4"/>
        <v>Fri</v>
      </c>
      <c r="N104" s="17" t="str">
        <f t="shared" si="5"/>
        <v>Correct</v>
      </c>
    </row>
    <row r="105" spans="1:14" x14ac:dyDescent="0.25">
      <c r="A105" s="13" t="s">
        <v>184</v>
      </c>
      <c r="B105" s="14" t="s">
        <v>185</v>
      </c>
      <c r="C105" s="13" t="s">
        <v>60</v>
      </c>
      <c r="D105" s="13" t="s">
        <v>40</v>
      </c>
      <c r="E105" s="15">
        <v>40</v>
      </c>
      <c r="F105" s="15">
        <v>5</v>
      </c>
      <c r="G105" s="15">
        <v>200</v>
      </c>
      <c r="H105" s="13" t="s">
        <v>93</v>
      </c>
      <c r="I105" s="13" t="s">
        <v>34</v>
      </c>
      <c r="J105" s="13" t="s">
        <v>17</v>
      </c>
      <c r="K105" s="13" t="s">
        <v>25</v>
      </c>
      <c r="L105" s="16" t="str">
        <f t="shared" si="3"/>
        <v>Feb</v>
      </c>
      <c r="M105" s="17" t="str">
        <f t="shared" si="4"/>
        <v>Sat</v>
      </c>
      <c r="N105" s="17" t="str">
        <f t="shared" si="5"/>
        <v>Correct</v>
      </c>
    </row>
    <row r="106" spans="1:14" x14ac:dyDescent="0.25">
      <c r="A106" s="13" t="s">
        <v>186</v>
      </c>
      <c r="B106" s="14" t="s">
        <v>141</v>
      </c>
      <c r="C106" s="13" t="s">
        <v>60</v>
      </c>
      <c r="D106" s="13" t="s">
        <v>40</v>
      </c>
      <c r="E106" s="15">
        <v>40</v>
      </c>
      <c r="F106" s="15">
        <v>1</v>
      </c>
      <c r="G106" s="15">
        <v>40</v>
      </c>
      <c r="H106" s="13" t="s">
        <v>93</v>
      </c>
      <c r="I106" s="13" t="s">
        <v>51</v>
      </c>
      <c r="J106" s="13" t="s">
        <v>17</v>
      </c>
      <c r="K106" s="13" t="s">
        <v>25</v>
      </c>
      <c r="L106" s="16" t="str">
        <f t="shared" si="3"/>
        <v>Mar</v>
      </c>
      <c r="M106" s="17" t="str">
        <f t="shared" si="4"/>
        <v>Sun</v>
      </c>
      <c r="N106" s="17" t="str">
        <f t="shared" si="5"/>
        <v>Correct</v>
      </c>
    </row>
    <row r="107" spans="1:14" x14ac:dyDescent="0.25">
      <c r="A107" s="13" t="s">
        <v>187</v>
      </c>
      <c r="B107" s="14" t="s">
        <v>115</v>
      </c>
      <c r="C107" s="13" t="s">
        <v>39</v>
      </c>
      <c r="D107" s="13" t="s">
        <v>40</v>
      </c>
      <c r="E107" s="15">
        <v>20</v>
      </c>
      <c r="F107" s="15">
        <v>3</v>
      </c>
      <c r="G107" s="15">
        <v>60</v>
      </c>
      <c r="H107" s="13" t="s">
        <v>33</v>
      </c>
      <c r="I107" s="13" t="s">
        <v>94</v>
      </c>
      <c r="J107" s="13" t="s">
        <v>44</v>
      </c>
      <c r="K107" s="13" t="s">
        <v>25</v>
      </c>
      <c r="L107" s="16" t="str">
        <f t="shared" si="3"/>
        <v>Mar</v>
      </c>
      <c r="M107" s="17" t="str">
        <f t="shared" si="4"/>
        <v>Sat</v>
      </c>
      <c r="N107" s="17" t="str">
        <f t="shared" si="5"/>
        <v>Correct</v>
      </c>
    </row>
    <row r="108" spans="1:14" x14ac:dyDescent="0.25">
      <c r="A108" s="13" t="s">
        <v>188</v>
      </c>
      <c r="B108" s="14" t="s">
        <v>129</v>
      </c>
      <c r="C108" s="13" t="s">
        <v>60</v>
      </c>
      <c r="D108" s="13" t="s">
        <v>40</v>
      </c>
      <c r="E108" s="15">
        <v>40</v>
      </c>
      <c r="F108" s="15">
        <v>3</v>
      </c>
      <c r="G108" s="15">
        <v>120</v>
      </c>
      <c r="H108" s="13" t="s">
        <v>33</v>
      </c>
      <c r="I108" s="13" t="s">
        <v>34</v>
      </c>
      <c r="J108" s="13" t="s">
        <v>35</v>
      </c>
      <c r="K108" s="13" t="s">
        <v>18</v>
      </c>
      <c r="L108" s="16" t="str">
        <f t="shared" si="3"/>
        <v>Mar</v>
      </c>
      <c r="M108" s="17" t="str">
        <f t="shared" si="4"/>
        <v>Wed</v>
      </c>
      <c r="N108" s="17" t="str">
        <f t="shared" si="5"/>
        <v>Correct</v>
      </c>
    </row>
    <row r="109" spans="1:14" x14ac:dyDescent="0.25">
      <c r="A109" s="13" t="s">
        <v>189</v>
      </c>
      <c r="B109" s="14" t="s">
        <v>141</v>
      </c>
      <c r="C109" s="13" t="s">
        <v>21</v>
      </c>
      <c r="D109" s="13" t="s">
        <v>22</v>
      </c>
      <c r="E109" s="15">
        <v>100</v>
      </c>
      <c r="F109" s="15">
        <v>2</v>
      </c>
      <c r="G109" s="15">
        <v>200</v>
      </c>
      <c r="H109" s="13" t="s">
        <v>64</v>
      </c>
      <c r="I109" s="13" t="s">
        <v>49</v>
      </c>
      <c r="J109" s="13" t="s">
        <v>44</v>
      </c>
      <c r="K109" s="13" t="s">
        <v>25</v>
      </c>
      <c r="L109" s="16" t="str">
        <f t="shared" si="3"/>
        <v>Mar</v>
      </c>
      <c r="M109" s="17" t="str">
        <f t="shared" si="4"/>
        <v>Sun</v>
      </c>
      <c r="N109" s="17" t="str">
        <f t="shared" si="5"/>
        <v>Correct</v>
      </c>
    </row>
    <row r="110" spans="1:14" x14ac:dyDescent="0.25">
      <c r="A110" s="13" t="s">
        <v>190</v>
      </c>
      <c r="B110" s="14" t="s">
        <v>111</v>
      </c>
      <c r="C110" s="13" t="s">
        <v>60</v>
      </c>
      <c r="D110" s="13" t="s">
        <v>40</v>
      </c>
      <c r="E110" s="15">
        <v>40</v>
      </c>
      <c r="F110" s="15">
        <v>5</v>
      </c>
      <c r="G110" s="15">
        <v>200</v>
      </c>
      <c r="H110" s="13" t="s">
        <v>61</v>
      </c>
      <c r="I110" s="13" t="s">
        <v>16</v>
      </c>
      <c r="J110" s="13" t="s">
        <v>44</v>
      </c>
      <c r="K110" s="13" t="s">
        <v>45</v>
      </c>
      <c r="L110" s="16" t="str">
        <f t="shared" si="3"/>
        <v>Mar</v>
      </c>
      <c r="M110" s="17" t="str">
        <f t="shared" si="4"/>
        <v>Mon</v>
      </c>
      <c r="N110" s="17" t="str">
        <f t="shared" si="5"/>
        <v>Correct</v>
      </c>
    </row>
    <row r="111" spans="1:14" x14ac:dyDescent="0.25">
      <c r="A111" s="13" t="s">
        <v>191</v>
      </c>
      <c r="B111" s="14" t="s">
        <v>120</v>
      </c>
      <c r="C111" s="13" t="s">
        <v>47</v>
      </c>
      <c r="D111" s="13" t="s">
        <v>22</v>
      </c>
      <c r="E111" s="15">
        <v>500</v>
      </c>
      <c r="F111" s="15">
        <v>5</v>
      </c>
      <c r="G111" s="15">
        <v>2500</v>
      </c>
      <c r="H111" s="13" t="s">
        <v>33</v>
      </c>
      <c r="I111" s="13" t="s">
        <v>34</v>
      </c>
      <c r="J111" s="13" t="s">
        <v>30</v>
      </c>
      <c r="K111" s="13" t="s">
        <v>25</v>
      </c>
      <c r="L111" s="16" t="str">
        <f t="shared" si="3"/>
        <v>Feb</v>
      </c>
      <c r="M111" s="17" t="str">
        <f t="shared" si="4"/>
        <v>Tue</v>
      </c>
      <c r="N111" s="17" t="str">
        <f t="shared" si="5"/>
        <v>Correct</v>
      </c>
    </row>
    <row r="112" spans="1:14" x14ac:dyDescent="0.25">
      <c r="A112" s="13" t="s">
        <v>192</v>
      </c>
      <c r="B112" s="14" t="s">
        <v>144</v>
      </c>
      <c r="C112" s="13" t="s">
        <v>63</v>
      </c>
      <c r="D112" s="13" t="s">
        <v>22</v>
      </c>
      <c r="E112" s="15">
        <v>800</v>
      </c>
      <c r="F112" s="15">
        <v>4</v>
      </c>
      <c r="G112" s="15">
        <v>3200</v>
      </c>
      <c r="H112" s="13" t="s">
        <v>15</v>
      </c>
      <c r="I112" s="13" t="s">
        <v>77</v>
      </c>
      <c r="J112" s="13" t="s">
        <v>35</v>
      </c>
      <c r="K112" s="13" t="s">
        <v>45</v>
      </c>
      <c r="L112" s="16" t="str">
        <f t="shared" si="3"/>
        <v>Mar</v>
      </c>
      <c r="M112" s="17" t="str">
        <f t="shared" si="4"/>
        <v>Mon</v>
      </c>
      <c r="N112" s="17" t="str">
        <f t="shared" si="5"/>
        <v>Correct</v>
      </c>
    </row>
    <row r="113" spans="1:14" x14ac:dyDescent="0.25">
      <c r="A113" s="13" t="s">
        <v>193</v>
      </c>
      <c r="B113" s="14">
        <v>45811</v>
      </c>
      <c r="C113" s="13" t="s">
        <v>67</v>
      </c>
      <c r="D113" s="13" t="s">
        <v>68</v>
      </c>
      <c r="E113" s="15">
        <v>600</v>
      </c>
      <c r="F113" s="15">
        <v>2</v>
      </c>
      <c r="G113" s="15">
        <v>1200</v>
      </c>
      <c r="H113" s="13" t="s">
        <v>57</v>
      </c>
      <c r="I113" s="13" t="s">
        <v>34</v>
      </c>
      <c r="J113" s="13" t="s">
        <v>65</v>
      </c>
      <c r="K113" s="13" t="s">
        <v>18</v>
      </c>
      <c r="L113" s="16" t="str">
        <f t="shared" si="3"/>
        <v>Jun</v>
      </c>
      <c r="M113" s="17" t="str">
        <f t="shared" si="4"/>
        <v>Tue</v>
      </c>
      <c r="N113" s="17" t="str">
        <f t="shared" si="5"/>
        <v>Correct</v>
      </c>
    </row>
    <row r="114" spans="1:14" x14ac:dyDescent="0.25">
      <c r="A114" s="13" t="s">
        <v>194</v>
      </c>
      <c r="B114" s="14" t="s">
        <v>129</v>
      </c>
      <c r="C114" s="13" t="s">
        <v>55</v>
      </c>
      <c r="D114" s="13" t="s">
        <v>56</v>
      </c>
      <c r="E114" s="15">
        <v>15</v>
      </c>
      <c r="F114" s="15">
        <v>5</v>
      </c>
      <c r="G114" s="15">
        <v>75</v>
      </c>
      <c r="H114" s="13" t="s">
        <v>57</v>
      </c>
      <c r="I114" s="13" t="s">
        <v>24</v>
      </c>
      <c r="J114" s="13" t="s">
        <v>17</v>
      </c>
      <c r="K114" s="13" t="s">
        <v>25</v>
      </c>
      <c r="L114" s="16" t="str">
        <f t="shared" si="3"/>
        <v>Mar</v>
      </c>
      <c r="M114" s="17" t="str">
        <f t="shared" si="4"/>
        <v>Wed</v>
      </c>
      <c r="N114" s="17" t="str">
        <f t="shared" si="5"/>
        <v>Correct</v>
      </c>
    </row>
    <row r="115" spans="1:14" x14ac:dyDescent="0.25">
      <c r="A115" s="13" t="s">
        <v>195</v>
      </c>
      <c r="B115" s="14" t="s">
        <v>85</v>
      </c>
      <c r="C115" s="13" t="s">
        <v>13</v>
      </c>
      <c r="D115" s="13" t="s">
        <v>14</v>
      </c>
      <c r="E115" s="15">
        <v>60</v>
      </c>
      <c r="F115" s="15">
        <v>1</v>
      </c>
      <c r="G115" s="15">
        <v>60</v>
      </c>
      <c r="H115" s="13" t="s">
        <v>15</v>
      </c>
      <c r="I115" s="13" t="s">
        <v>43</v>
      </c>
      <c r="J115" s="13" t="s">
        <v>35</v>
      </c>
      <c r="K115" s="13" t="s">
        <v>25</v>
      </c>
      <c r="L115" s="16" t="str">
        <f t="shared" si="3"/>
        <v>Feb</v>
      </c>
      <c r="M115" s="17" t="str">
        <f t="shared" si="4"/>
        <v>Sun</v>
      </c>
      <c r="N115" s="17" t="str">
        <f t="shared" si="5"/>
        <v>Correct</v>
      </c>
    </row>
    <row r="116" spans="1:14" x14ac:dyDescent="0.25">
      <c r="A116" s="13" t="s">
        <v>196</v>
      </c>
      <c r="B116" s="14" t="s">
        <v>197</v>
      </c>
      <c r="C116" s="13" t="s">
        <v>13</v>
      </c>
      <c r="D116" s="13" t="s">
        <v>14</v>
      </c>
      <c r="E116" s="15">
        <v>60</v>
      </c>
      <c r="F116" s="15">
        <v>3</v>
      </c>
      <c r="G116" s="15">
        <v>180</v>
      </c>
      <c r="H116" s="13" t="s">
        <v>33</v>
      </c>
      <c r="I116" s="13" t="s">
        <v>49</v>
      </c>
      <c r="J116" s="13" t="s">
        <v>30</v>
      </c>
      <c r="K116" s="13" t="s">
        <v>45</v>
      </c>
      <c r="L116" s="16" t="str">
        <f t="shared" si="3"/>
        <v>Mar</v>
      </c>
      <c r="M116" s="17" t="str">
        <f t="shared" si="4"/>
        <v>Fri</v>
      </c>
      <c r="N116" s="17" t="str">
        <f t="shared" si="5"/>
        <v>Correct</v>
      </c>
    </row>
    <row r="117" spans="1:14" x14ac:dyDescent="0.25">
      <c r="A117" s="13" t="s">
        <v>198</v>
      </c>
      <c r="B117" s="14" t="s">
        <v>129</v>
      </c>
      <c r="C117" s="13" t="s">
        <v>63</v>
      </c>
      <c r="D117" s="13" t="s">
        <v>22</v>
      </c>
      <c r="E117" s="15">
        <v>800</v>
      </c>
      <c r="F117" s="15">
        <v>4</v>
      </c>
      <c r="G117" s="15">
        <v>3200</v>
      </c>
      <c r="H117" s="13" t="s">
        <v>15</v>
      </c>
      <c r="I117" s="13" t="s">
        <v>77</v>
      </c>
      <c r="J117" s="13" t="s">
        <v>30</v>
      </c>
      <c r="K117" s="13" t="s">
        <v>45</v>
      </c>
      <c r="L117" s="16" t="str">
        <f t="shared" si="3"/>
        <v>Mar</v>
      </c>
      <c r="M117" s="17" t="str">
        <f t="shared" si="4"/>
        <v>Wed</v>
      </c>
      <c r="N117" s="17" t="str">
        <f t="shared" si="5"/>
        <v>Correct</v>
      </c>
    </row>
    <row r="118" spans="1:14" x14ac:dyDescent="0.25">
      <c r="A118" s="13" t="s">
        <v>199</v>
      </c>
      <c r="B118" s="14" t="s">
        <v>200</v>
      </c>
      <c r="C118" s="13" t="s">
        <v>39</v>
      </c>
      <c r="D118" s="13" t="s">
        <v>40</v>
      </c>
      <c r="E118" s="15">
        <v>20</v>
      </c>
      <c r="F118" s="15">
        <v>1</v>
      </c>
      <c r="G118" s="15">
        <v>20</v>
      </c>
      <c r="H118" s="13" t="s">
        <v>64</v>
      </c>
      <c r="I118" s="13" t="s">
        <v>16</v>
      </c>
      <c r="J118" s="13" t="s">
        <v>35</v>
      </c>
      <c r="K118" s="13" t="s">
        <v>45</v>
      </c>
      <c r="L118" s="16" t="str">
        <f t="shared" si="3"/>
        <v>Feb</v>
      </c>
      <c r="M118" s="17" t="str">
        <f t="shared" si="4"/>
        <v>Thu</v>
      </c>
      <c r="N118" s="17" t="str">
        <f t="shared" si="5"/>
        <v>Correct</v>
      </c>
    </row>
    <row r="119" spans="1:14" x14ac:dyDescent="0.25">
      <c r="A119" s="13" t="s">
        <v>201</v>
      </c>
      <c r="B119" s="14">
        <v>45932</v>
      </c>
      <c r="C119" s="13" t="s">
        <v>21</v>
      </c>
      <c r="D119" s="13" t="s">
        <v>22</v>
      </c>
      <c r="E119" s="15">
        <v>100</v>
      </c>
      <c r="F119" s="15">
        <v>5</v>
      </c>
      <c r="G119" s="15">
        <v>500</v>
      </c>
      <c r="H119" s="13" t="s">
        <v>28</v>
      </c>
      <c r="I119" s="13" t="s">
        <v>43</v>
      </c>
      <c r="J119" s="13" t="s">
        <v>30</v>
      </c>
      <c r="K119" s="13" t="s">
        <v>45</v>
      </c>
      <c r="L119" s="16" t="str">
        <f t="shared" si="3"/>
        <v>Oct</v>
      </c>
      <c r="M119" s="17" t="str">
        <f t="shared" si="4"/>
        <v>Thu</v>
      </c>
      <c r="N119" s="17" t="str">
        <f t="shared" si="5"/>
        <v>Correct</v>
      </c>
    </row>
    <row r="120" spans="1:14" x14ac:dyDescent="0.25">
      <c r="A120" s="13" t="s">
        <v>202</v>
      </c>
      <c r="B120" s="14" t="s">
        <v>141</v>
      </c>
      <c r="C120" s="13" t="s">
        <v>47</v>
      </c>
      <c r="D120" s="13" t="s">
        <v>22</v>
      </c>
      <c r="E120" s="15">
        <v>500</v>
      </c>
      <c r="F120" s="15">
        <v>2</v>
      </c>
      <c r="G120" s="15">
        <v>1000</v>
      </c>
      <c r="H120" s="13" t="s">
        <v>82</v>
      </c>
      <c r="I120" s="13" t="s">
        <v>94</v>
      </c>
      <c r="J120" s="13" t="s">
        <v>44</v>
      </c>
      <c r="K120" s="13" t="s">
        <v>25</v>
      </c>
      <c r="L120" s="16" t="str">
        <f t="shared" si="3"/>
        <v>Mar</v>
      </c>
      <c r="M120" s="17" t="str">
        <f t="shared" si="4"/>
        <v>Sun</v>
      </c>
      <c r="N120" s="17" t="str">
        <f t="shared" si="5"/>
        <v>Correct</v>
      </c>
    </row>
    <row r="121" spans="1:14" x14ac:dyDescent="0.25">
      <c r="A121" s="13" t="s">
        <v>203</v>
      </c>
      <c r="B121" s="14" t="s">
        <v>104</v>
      </c>
      <c r="C121" s="13" t="s">
        <v>63</v>
      </c>
      <c r="D121" s="13" t="s">
        <v>22</v>
      </c>
      <c r="E121" s="15">
        <v>800</v>
      </c>
      <c r="F121" s="15">
        <v>5</v>
      </c>
      <c r="G121" s="15">
        <v>4000</v>
      </c>
      <c r="H121" s="13" t="s">
        <v>23</v>
      </c>
      <c r="I121" s="13" t="s">
        <v>29</v>
      </c>
      <c r="J121" s="13" t="s">
        <v>44</v>
      </c>
      <c r="K121" s="13" t="s">
        <v>45</v>
      </c>
      <c r="L121" s="16" t="str">
        <f t="shared" si="3"/>
        <v>Feb</v>
      </c>
      <c r="M121" s="17" t="str">
        <f t="shared" si="4"/>
        <v>Sun</v>
      </c>
      <c r="N121" s="17" t="str">
        <f t="shared" si="5"/>
        <v>Correct</v>
      </c>
    </row>
    <row r="122" spans="1:14" x14ac:dyDescent="0.25">
      <c r="A122" s="13" t="s">
        <v>204</v>
      </c>
      <c r="B122" s="14" t="s">
        <v>120</v>
      </c>
      <c r="C122" s="13" t="s">
        <v>47</v>
      </c>
      <c r="D122" s="13" t="s">
        <v>22</v>
      </c>
      <c r="E122" s="15">
        <v>500</v>
      </c>
      <c r="F122" s="15">
        <v>1</v>
      </c>
      <c r="G122" s="15">
        <v>500</v>
      </c>
      <c r="H122" s="13" t="s">
        <v>28</v>
      </c>
      <c r="I122" s="13" t="s">
        <v>34</v>
      </c>
      <c r="J122" s="13" t="s">
        <v>65</v>
      </c>
      <c r="K122" s="13" t="s">
        <v>25</v>
      </c>
      <c r="L122" s="16" t="str">
        <f t="shared" si="3"/>
        <v>Feb</v>
      </c>
      <c r="M122" s="17" t="str">
        <f t="shared" si="4"/>
        <v>Tue</v>
      </c>
      <c r="N122" s="17" t="str">
        <f t="shared" si="5"/>
        <v>Correct</v>
      </c>
    </row>
    <row r="123" spans="1:14" x14ac:dyDescent="0.25">
      <c r="A123" s="13" t="s">
        <v>205</v>
      </c>
      <c r="B123" s="14" t="s">
        <v>206</v>
      </c>
      <c r="C123" s="13" t="s">
        <v>63</v>
      </c>
      <c r="D123" s="13" t="s">
        <v>22</v>
      </c>
      <c r="E123" s="15">
        <v>800</v>
      </c>
      <c r="F123" s="15">
        <v>3</v>
      </c>
      <c r="G123" s="15">
        <v>2400</v>
      </c>
      <c r="H123" s="13" t="s">
        <v>28</v>
      </c>
      <c r="I123" s="13" t="s">
        <v>49</v>
      </c>
      <c r="J123" s="13" t="s">
        <v>35</v>
      </c>
      <c r="K123" s="13" t="s">
        <v>18</v>
      </c>
      <c r="L123" s="16" t="str">
        <f t="shared" si="3"/>
        <v>Mar</v>
      </c>
      <c r="M123" s="17" t="str">
        <f t="shared" si="4"/>
        <v>Fri</v>
      </c>
      <c r="N123" s="17" t="str">
        <f t="shared" si="5"/>
        <v>Correct</v>
      </c>
    </row>
    <row r="124" spans="1:14" x14ac:dyDescent="0.25">
      <c r="A124" s="13" t="s">
        <v>207</v>
      </c>
      <c r="B124" s="14" t="s">
        <v>85</v>
      </c>
      <c r="C124" s="13" t="s">
        <v>55</v>
      </c>
      <c r="D124" s="13" t="s">
        <v>56</v>
      </c>
      <c r="E124" s="15">
        <v>15</v>
      </c>
      <c r="F124" s="15">
        <v>3</v>
      </c>
      <c r="G124" s="15">
        <v>45</v>
      </c>
      <c r="H124" s="13" t="s">
        <v>82</v>
      </c>
      <c r="I124" s="13" t="s">
        <v>51</v>
      </c>
      <c r="J124" s="13" t="s">
        <v>65</v>
      </c>
      <c r="K124" s="13" t="s">
        <v>18</v>
      </c>
      <c r="L124" s="16" t="str">
        <f t="shared" si="3"/>
        <v>Feb</v>
      </c>
      <c r="M124" s="17" t="str">
        <f t="shared" si="4"/>
        <v>Sun</v>
      </c>
      <c r="N124" s="17" t="str">
        <f t="shared" si="5"/>
        <v>Correct</v>
      </c>
    </row>
    <row r="125" spans="1:14" x14ac:dyDescent="0.25">
      <c r="A125" s="13" t="s">
        <v>208</v>
      </c>
      <c r="B125" s="14">
        <v>45932</v>
      </c>
      <c r="C125" s="13" t="s">
        <v>55</v>
      </c>
      <c r="D125" s="13" t="s">
        <v>56</v>
      </c>
      <c r="E125" s="15">
        <v>15</v>
      </c>
      <c r="F125" s="15">
        <v>1</v>
      </c>
      <c r="G125" s="15">
        <v>15</v>
      </c>
      <c r="H125" s="13" t="s">
        <v>15</v>
      </c>
      <c r="I125" s="13" t="s">
        <v>71</v>
      </c>
      <c r="J125" s="13" t="s">
        <v>65</v>
      </c>
      <c r="K125" s="13" t="s">
        <v>25</v>
      </c>
      <c r="L125" s="16" t="str">
        <f t="shared" si="3"/>
        <v>Oct</v>
      </c>
      <c r="M125" s="17" t="str">
        <f t="shared" si="4"/>
        <v>Thu</v>
      </c>
      <c r="N125" s="17" t="str">
        <f t="shared" si="5"/>
        <v>Correct</v>
      </c>
    </row>
    <row r="126" spans="1:14" x14ac:dyDescent="0.25">
      <c r="A126" s="13" t="s">
        <v>209</v>
      </c>
      <c r="B126" s="14" t="s">
        <v>85</v>
      </c>
      <c r="C126" s="13" t="s">
        <v>47</v>
      </c>
      <c r="D126" s="13" t="s">
        <v>22</v>
      </c>
      <c r="E126" s="15">
        <v>500</v>
      </c>
      <c r="F126" s="15">
        <v>1</v>
      </c>
      <c r="G126" s="15">
        <v>500</v>
      </c>
      <c r="H126" s="13" t="s">
        <v>23</v>
      </c>
      <c r="I126" s="13" t="s">
        <v>29</v>
      </c>
      <c r="J126" s="13" t="s">
        <v>30</v>
      </c>
      <c r="K126" s="13" t="s">
        <v>45</v>
      </c>
      <c r="L126" s="16" t="str">
        <f t="shared" si="3"/>
        <v>Feb</v>
      </c>
      <c r="M126" s="17" t="str">
        <f t="shared" si="4"/>
        <v>Sun</v>
      </c>
      <c r="N126" s="17" t="str">
        <f t="shared" si="5"/>
        <v>Correct</v>
      </c>
    </row>
    <row r="127" spans="1:14" x14ac:dyDescent="0.25">
      <c r="A127" s="13" t="s">
        <v>210</v>
      </c>
      <c r="B127" s="14">
        <v>45749</v>
      </c>
      <c r="C127" s="13" t="s">
        <v>74</v>
      </c>
      <c r="D127" s="13" t="s">
        <v>68</v>
      </c>
      <c r="E127" s="15">
        <v>1200</v>
      </c>
      <c r="F127" s="15">
        <v>5</v>
      </c>
      <c r="G127" s="15">
        <v>6000</v>
      </c>
      <c r="H127" s="13" t="s">
        <v>33</v>
      </c>
      <c r="I127" s="13" t="s">
        <v>94</v>
      </c>
      <c r="J127" s="13" t="s">
        <v>65</v>
      </c>
      <c r="K127" s="13" t="s">
        <v>25</v>
      </c>
      <c r="L127" s="16" t="str">
        <f t="shared" si="3"/>
        <v>Apr</v>
      </c>
      <c r="M127" s="17" t="str">
        <f t="shared" si="4"/>
        <v>Wed</v>
      </c>
      <c r="N127" s="17" t="str">
        <f t="shared" si="5"/>
        <v>Correct</v>
      </c>
    </row>
    <row r="128" spans="1:14" x14ac:dyDescent="0.25">
      <c r="A128" s="13" t="s">
        <v>211</v>
      </c>
      <c r="B128" s="14" t="s">
        <v>120</v>
      </c>
      <c r="C128" s="13" t="s">
        <v>39</v>
      </c>
      <c r="D128" s="13" t="s">
        <v>40</v>
      </c>
      <c r="E128" s="15">
        <v>20</v>
      </c>
      <c r="F128" s="15">
        <v>3</v>
      </c>
      <c r="G128" s="15">
        <v>60</v>
      </c>
      <c r="H128" s="13" t="s">
        <v>15</v>
      </c>
      <c r="I128" s="13" t="s">
        <v>34</v>
      </c>
      <c r="J128" s="13" t="s">
        <v>17</v>
      </c>
      <c r="K128" s="13" t="s">
        <v>45</v>
      </c>
      <c r="L128" s="16" t="str">
        <f t="shared" si="3"/>
        <v>Feb</v>
      </c>
      <c r="M128" s="17" t="str">
        <f t="shared" si="4"/>
        <v>Tue</v>
      </c>
      <c r="N128" s="17" t="str">
        <f t="shared" si="5"/>
        <v>Correct</v>
      </c>
    </row>
    <row r="129" spans="1:14" x14ac:dyDescent="0.25">
      <c r="A129" s="13" t="s">
        <v>212</v>
      </c>
      <c r="B129" s="14" t="s">
        <v>213</v>
      </c>
      <c r="C129" s="13" t="s">
        <v>37</v>
      </c>
      <c r="D129" s="13" t="s">
        <v>22</v>
      </c>
      <c r="E129" s="15">
        <v>150</v>
      </c>
      <c r="F129" s="15">
        <v>2</v>
      </c>
      <c r="G129" s="15">
        <v>300</v>
      </c>
      <c r="H129" s="13" t="s">
        <v>23</v>
      </c>
      <c r="I129" s="13" t="s">
        <v>34</v>
      </c>
      <c r="J129" s="13" t="s">
        <v>44</v>
      </c>
      <c r="K129" s="13" t="s">
        <v>18</v>
      </c>
      <c r="L129" s="16" t="str">
        <f t="shared" si="3"/>
        <v>Mar</v>
      </c>
      <c r="M129" s="17" t="str">
        <f t="shared" si="4"/>
        <v>Sun</v>
      </c>
      <c r="N129" s="17" t="str">
        <f t="shared" si="5"/>
        <v>Correct</v>
      </c>
    </row>
    <row r="130" spans="1:14" x14ac:dyDescent="0.25">
      <c r="A130" s="13" t="s">
        <v>214</v>
      </c>
      <c r="B130" s="14" t="s">
        <v>73</v>
      </c>
      <c r="C130" s="13" t="s">
        <v>60</v>
      </c>
      <c r="D130" s="13" t="s">
        <v>40</v>
      </c>
      <c r="E130" s="15">
        <v>40</v>
      </c>
      <c r="F130" s="15">
        <v>5</v>
      </c>
      <c r="G130" s="15">
        <v>200</v>
      </c>
      <c r="H130" s="13" t="s">
        <v>23</v>
      </c>
      <c r="I130" s="13" t="s">
        <v>16</v>
      </c>
      <c r="J130" s="13" t="s">
        <v>17</v>
      </c>
      <c r="K130" s="13" t="s">
        <v>25</v>
      </c>
      <c r="L130" s="16" t="str">
        <f t="shared" si="3"/>
        <v>Feb</v>
      </c>
      <c r="M130" s="17" t="str">
        <f t="shared" si="4"/>
        <v>Wed</v>
      </c>
      <c r="N130" s="17" t="str">
        <f t="shared" si="5"/>
        <v>Correct</v>
      </c>
    </row>
    <row r="131" spans="1:14" x14ac:dyDescent="0.25">
      <c r="A131" s="13" t="s">
        <v>215</v>
      </c>
      <c r="B131" s="14">
        <v>45932</v>
      </c>
      <c r="C131" s="13" t="s">
        <v>37</v>
      </c>
      <c r="D131" s="13" t="s">
        <v>22</v>
      </c>
      <c r="E131" s="15">
        <v>150</v>
      </c>
      <c r="F131" s="15">
        <v>5</v>
      </c>
      <c r="G131" s="15">
        <v>750</v>
      </c>
      <c r="H131" s="13" t="s">
        <v>57</v>
      </c>
      <c r="I131" s="13" t="s">
        <v>51</v>
      </c>
      <c r="J131" s="13" t="s">
        <v>44</v>
      </c>
      <c r="K131" s="13" t="s">
        <v>45</v>
      </c>
      <c r="L131" s="16" t="str">
        <f t="shared" ref="L131:L194" si="6">TEXT(B131,"MMM")</f>
        <v>Oct</v>
      </c>
      <c r="M131" s="17" t="str">
        <f t="shared" ref="M131:M194" si="7">TEXT(B131,"DDD")</f>
        <v>Thu</v>
      </c>
      <c r="N131" s="17" t="str">
        <f t="shared" ref="N131:N194" si="8">IF(G131=E131*F131,"Correct","Error")</f>
        <v>Correct</v>
      </c>
    </row>
    <row r="132" spans="1:14" x14ac:dyDescent="0.25">
      <c r="A132" s="13" t="s">
        <v>216</v>
      </c>
      <c r="B132" s="14" t="s">
        <v>73</v>
      </c>
      <c r="C132" s="13" t="s">
        <v>60</v>
      </c>
      <c r="D132" s="13" t="s">
        <v>40</v>
      </c>
      <c r="E132" s="15">
        <v>40</v>
      </c>
      <c r="F132" s="15">
        <v>2</v>
      </c>
      <c r="G132" s="15">
        <v>80</v>
      </c>
      <c r="H132" s="13" t="s">
        <v>64</v>
      </c>
      <c r="I132" s="13" t="s">
        <v>94</v>
      </c>
      <c r="J132" s="13" t="s">
        <v>35</v>
      </c>
      <c r="K132" s="13" t="s">
        <v>25</v>
      </c>
      <c r="L132" s="16" t="str">
        <f t="shared" si="6"/>
        <v>Feb</v>
      </c>
      <c r="M132" s="17" t="str">
        <f t="shared" si="7"/>
        <v>Wed</v>
      </c>
      <c r="N132" s="17" t="str">
        <f t="shared" si="8"/>
        <v>Correct</v>
      </c>
    </row>
    <row r="133" spans="1:14" x14ac:dyDescent="0.25">
      <c r="A133" s="13" t="s">
        <v>217</v>
      </c>
      <c r="B133" s="14">
        <v>45841</v>
      </c>
      <c r="C133" s="13" t="s">
        <v>47</v>
      </c>
      <c r="D133" s="13" t="s">
        <v>22</v>
      </c>
      <c r="E133" s="15">
        <v>500</v>
      </c>
      <c r="F133" s="15">
        <v>2</v>
      </c>
      <c r="G133" s="15">
        <v>1000</v>
      </c>
      <c r="H133" s="13" t="s">
        <v>33</v>
      </c>
      <c r="I133" s="13" t="s">
        <v>94</v>
      </c>
      <c r="J133" s="13" t="s">
        <v>17</v>
      </c>
      <c r="K133" s="13" t="s">
        <v>25</v>
      </c>
      <c r="L133" s="16" t="str">
        <f t="shared" si="6"/>
        <v>Jul</v>
      </c>
      <c r="M133" s="17" t="str">
        <f t="shared" si="7"/>
        <v>Thu</v>
      </c>
      <c r="N133" s="17" t="str">
        <f t="shared" si="8"/>
        <v>Correct</v>
      </c>
    </row>
    <row r="134" spans="1:14" x14ac:dyDescent="0.25">
      <c r="A134" s="13" t="s">
        <v>218</v>
      </c>
      <c r="B134" s="14" t="s">
        <v>85</v>
      </c>
      <c r="C134" s="13" t="s">
        <v>63</v>
      </c>
      <c r="D134" s="13" t="s">
        <v>22</v>
      </c>
      <c r="E134" s="15">
        <v>800</v>
      </c>
      <c r="F134" s="15">
        <v>1</v>
      </c>
      <c r="G134" s="15">
        <v>800</v>
      </c>
      <c r="H134" s="13" t="s">
        <v>23</v>
      </c>
      <c r="I134" s="13" t="s">
        <v>16</v>
      </c>
      <c r="J134" s="13" t="s">
        <v>30</v>
      </c>
      <c r="K134" s="13" t="s">
        <v>25</v>
      </c>
      <c r="L134" s="16" t="str">
        <f t="shared" si="6"/>
        <v>Feb</v>
      </c>
      <c r="M134" s="17" t="str">
        <f t="shared" si="7"/>
        <v>Sun</v>
      </c>
      <c r="N134" s="17" t="str">
        <f t="shared" si="8"/>
        <v>Correct</v>
      </c>
    </row>
    <row r="135" spans="1:14" x14ac:dyDescent="0.25">
      <c r="A135" s="13" t="s">
        <v>219</v>
      </c>
      <c r="B135" s="14">
        <v>45840</v>
      </c>
      <c r="C135" s="13" t="s">
        <v>47</v>
      </c>
      <c r="D135" s="13" t="s">
        <v>22</v>
      </c>
      <c r="E135" s="15">
        <v>500</v>
      </c>
      <c r="F135" s="15">
        <v>5</v>
      </c>
      <c r="G135" s="15">
        <v>2500</v>
      </c>
      <c r="H135" s="13" t="s">
        <v>57</v>
      </c>
      <c r="I135" s="13" t="s">
        <v>94</v>
      </c>
      <c r="J135" s="13" t="s">
        <v>65</v>
      </c>
      <c r="K135" s="13" t="s">
        <v>25</v>
      </c>
      <c r="L135" s="16" t="str">
        <f t="shared" si="6"/>
        <v>Jul</v>
      </c>
      <c r="M135" s="17" t="str">
        <f t="shared" si="7"/>
        <v>Wed</v>
      </c>
      <c r="N135" s="17" t="str">
        <f t="shared" si="8"/>
        <v>Correct</v>
      </c>
    </row>
    <row r="136" spans="1:14" x14ac:dyDescent="0.25">
      <c r="A136" s="13" t="s">
        <v>220</v>
      </c>
      <c r="B136" s="14">
        <v>45932</v>
      </c>
      <c r="C136" s="13" t="s">
        <v>39</v>
      </c>
      <c r="D136" s="13" t="s">
        <v>40</v>
      </c>
      <c r="E136" s="15">
        <v>20</v>
      </c>
      <c r="F136" s="15">
        <v>1</v>
      </c>
      <c r="G136" s="15">
        <v>20</v>
      </c>
      <c r="H136" s="13" t="s">
        <v>33</v>
      </c>
      <c r="I136" s="13" t="s">
        <v>49</v>
      </c>
      <c r="J136" s="13" t="s">
        <v>35</v>
      </c>
      <c r="K136" s="13" t="s">
        <v>25</v>
      </c>
      <c r="L136" s="16" t="str">
        <f t="shared" si="6"/>
        <v>Oct</v>
      </c>
      <c r="M136" s="17" t="str">
        <f t="shared" si="7"/>
        <v>Thu</v>
      </c>
      <c r="N136" s="17" t="str">
        <f t="shared" si="8"/>
        <v>Correct</v>
      </c>
    </row>
    <row r="137" spans="1:14" x14ac:dyDescent="0.25">
      <c r="A137" s="13" t="s">
        <v>221</v>
      </c>
      <c r="B137" s="14">
        <v>45963</v>
      </c>
      <c r="C137" s="13" t="s">
        <v>74</v>
      </c>
      <c r="D137" s="13" t="s">
        <v>68</v>
      </c>
      <c r="E137" s="15">
        <v>1200</v>
      </c>
      <c r="F137" s="15">
        <v>2</v>
      </c>
      <c r="G137" s="15">
        <v>2400</v>
      </c>
      <c r="H137" s="13" t="s">
        <v>64</v>
      </c>
      <c r="I137" s="13" t="s">
        <v>24</v>
      </c>
      <c r="J137" s="13" t="s">
        <v>44</v>
      </c>
      <c r="K137" s="13" t="s">
        <v>18</v>
      </c>
      <c r="L137" s="16" t="str">
        <f t="shared" si="6"/>
        <v>Nov</v>
      </c>
      <c r="M137" s="17" t="str">
        <f t="shared" si="7"/>
        <v>Sun</v>
      </c>
      <c r="N137" s="17" t="str">
        <f t="shared" si="8"/>
        <v>Correct</v>
      </c>
    </row>
    <row r="138" spans="1:14" x14ac:dyDescent="0.25">
      <c r="A138" s="13" t="s">
        <v>222</v>
      </c>
      <c r="B138" s="14" t="s">
        <v>20</v>
      </c>
      <c r="C138" s="13" t="s">
        <v>37</v>
      </c>
      <c r="D138" s="13" t="s">
        <v>22</v>
      </c>
      <c r="E138" s="15">
        <v>150</v>
      </c>
      <c r="F138" s="15">
        <v>3</v>
      </c>
      <c r="G138" s="15">
        <v>450</v>
      </c>
      <c r="H138" s="13" t="s">
        <v>48</v>
      </c>
      <c r="I138" s="13" t="s">
        <v>24</v>
      </c>
      <c r="J138" s="13" t="s">
        <v>17</v>
      </c>
      <c r="K138" s="13" t="s">
        <v>45</v>
      </c>
      <c r="L138" s="16" t="str">
        <f t="shared" si="6"/>
        <v>Mar</v>
      </c>
      <c r="M138" s="17" t="str">
        <f t="shared" si="7"/>
        <v>Thu</v>
      </c>
      <c r="N138" s="17" t="str">
        <f t="shared" si="8"/>
        <v>Correct</v>
      </c>
    </row>
    <row r="139" spans="1:14" x14ac:dyDescent="0.25">
      <c r="A139" s="13" t="s">
        <v>223</v>
      </c>
      <c r="B139" s="14">
        <v>45963</v>
      </c>
      <c r="C139" s="13" t="s">
        <v>37</v>
      </c>
      <c r="D139" s="13" t="s">
        <v>22</v>
      </c>
      <c r="E139" s="15">
        <v>150</v>
      </c>
      <c r="F139" s="15">
        <v>5</v>
      </c>
      <c r="G139" s="15">
        <v>750</v>
      </c>
      <c r="H139" s="13" t="s">
        <v>28</v>
      </c>
      <c r="I139" s="13" t="s">
        <v>77</v>
      </c>
      <c r="J139" s="13" t="s">
        <v>35</v>
      </c>
      <c r="K139" s="13" t="s">
        <v>18</v>
      </c>
      <c r="L139" s="16" t="str">
        <f t="shared" si="6"/>
        <v>Nov</v>
      </c>
      <c r="M139" s="17" t="str">
        <f t="shared" si="7"/>
        <v>Sun</v>
      </c>
      <c r="N139" s="17" t="str">
        <f t="shared" si="8"/>
        <v>Correct</v>
      </c>
    </row>
    <row r="140" spans="1:14" x14ac:dyDescent="0.25">
      <c r="A140" s="13" t="s">
        <v>224</v>
      </c>
      <c r="B140" s="14" t="s">
        <v>42</v>
      </c>
      <c r="C140" s="13" t="s">
        <v>63</v>
      </c>
      <c r="D140" s="13" t="s">
        <v>22</v>
      </c>
      <c r="E140" s="15">
        <v>800</v>
      </c>
      <c r="F140" s="15">
        <v>2</v>
      </c>
      <c r="G140" s="15">
        <v>1600</v>
      </c>
      <c r="H140" s="13" t="s">
        <v>61</v>
      </c>
      <c r="I140" s="13" t="s">
        <v>29</v>
      </c>
      <c r="J140" s="13" t="s">
        <v>44</v>
      </c>
      <c r="K140" s="13" t="s">
        <v>18</v>
      </c>
      <c r="L140" s="16" t="str">
        <f t="shared" si="6"/>
        <v>Mar</v>
      </c>
      <c r="M140" s="17" t="str">
        <f t="shared" si="7"/>
        <v>Tue</v>
      </c>
      <c r="N140" s="17" t="str">
        <f t="shared" si="8"/>
        <v>Correct</v>
      </c>
    </row>
    <row r="141" spans="1:14" x14ac:dyDescent="0.25">
      <c r="A141" s="13" t="s">
        <v>225</v>
      </c>
      <c r="B141" s="14" t="s">
        <v>129</v>
      </c>
      <c r="C141" s="13" t="s">
        <v>37</v>
      </c>
      <c r="D141" s="13" t="s">
        <v>22</v>
      </c>
      <c r="E141" s="15">
        <v>150</v>
      </c>
      <c r="F141" s="15">
        <v>2</v>
      </c>
      <c r="G141" s="15">
        <v>300</v>
      </c>
      <c r="H141" s="13" t="s">
        <v>33</v>
      </c>
      <c r="I141" s="13" t="s">
        <v>49</v>
      </c>
      <c r="J141" s="13" t="s">
        <v>17</v>
      </c>
      <c r="K141" s="13" t="s">
        <v>45</v>
      </c>
      <c r="L141" s="16" t="str">
        <f t="shared" si="6"/>
        <v>Mar</v>
      </c>
      <c r="M141" s="17" t="str">
        <f t="shared" si="7"/>
        <v>Wed</v>
      </c>
      <c r="N141" s="17" t="str">
        <f t="shared" si="8"/>
        <v>Correct</v>
      </c>
    </row>
    <row r="142" spans="1:14" x14ac:dyDescent="0.25">
      <c r="A142" s="13" t="s">
        <v>226</v>
      </c>
      <c r="B142" s="14" t="s">
        <v>197</v>
      </c>
      <c r="C142" s="13" t="s">
        <v>47</v>
      </c>
      <c r="D142" s="13" t="s">
        <v>22</v>
      </c>
      <c r="E142" s="15">
        <v>500</v>
      </c>
      <c r="F142" s="15">
        <v>2</v>
      </c>
      <c r="G142" s="15">
        <v>1000</v>
      </c>
      <c r="H142" s="13" t="s">
        <v>28</v>
      </c>
      <c r="I142" s="13" t="s">
        <v>49</v>
      </c>
      <c r="J142" s="13" t="s">
        <v>44</v>
      </c>
      <c r="K142" s="13" t="s">
        <v>45</v>
      </c>
      <c r="L142" s="16" t="str">
        <f t="shared" si="6"/>
        <v>Mar</v>
      </c>
      <c r="M142" s="17" t="str">
        <f t="shared" si="7"/>
        <v>Fri</v>
      </c>
      <c r="N142" s="17" t="str">
        <f t="shared" si="8"/>
        <v>Correct</v>
      </c>
    </row>
    <row r="143" spans="1:14" x14ac:dyDescent="0.25">
      <c r="A143" s="13" t="s">
        <v>227</v>
      </c>
      <c r="B143" s="14" t="s">
        <v>115</v>
      </c>
      <c r="C143" s="13" t="s">
        <v>47</v>
      </c>
      <c r="D143" s="13" t="s">
        <v>22</v>
      </c>
      <c r="E143" s="15">
        <v>500</v>
      </c>
      <c r="F143" s="15">
        <v>3</v>
      </c>
      <c r="G143" s="15">
        <v>1500</v>
      </c>
      <c r="H143" s="13" t="s">
        <v>48</v>
      </c>
      <c r="I143" s="13" t="s">
        <v>49</v>
      </c>
      <c r="J143" s="13" t="s">
        <v>65</v>
      </c>
      <c r="K143" s="13" t="s">
        <v>45</v>
      </c>
      <c r="L143" s="16" t="str">
        <f t="shared" si="6"/>
        <v>Mar</v>
      </c>
      <c r="M143" s="17" t="str">
        <f t="shared" si="7"/>
        <v>Sat</v>
      </c>
      <c r="N143" s="17" t="str">
        <f t="shared" si="8"/>
        <v>Correct</v>
      </c>
    </row>
    <row r="144" spans="1:14" x14ac:dyDescent="0.25">
      <c r="A144" s="13" t="s">
        <v>228</v>
      </c>
      <c r="B144" s="14" t="s">
        <v>144</v>
      </c>
      <c r="C144" s="13" t="s">
        <v>74</v>
      </c>
      <c r="D144" s="13" t="s">
        <v>68</v>
      </c>
      <c r="E144" s="15">
        <v>1200</v>
      </c>
      <c r="F144" s="15">
        <v>2</v>
      </c>
      <c r="G144" s="15">
        <v>2400</v>
      </c>
      <c r="H144" s="13" t="s">
        <v>93</v>
      </c>
      <c r="I144" s="13" t="s">
        <v>34</v>
      </c>
      <c r="J144" s="13" t="s">
        <v>44</v>
      </c>
      <c r="K144" s="13" t="s">
        <v>18</v>
      </c>
      <c r="L144" s="16" t="str">
        <f t="shared" si="6"/>
        <v>Mar</v>
      </c>
      <c r="M144" s="17" t="str">
        <f t="shared" si="7"/>
        <v>Mon</v>
      </c>
      <c r="N144" s="17" t="str">
        <f t="shared" si="8"/>
        <v>Correct</v>
      </c>
    </row>
    <row r="145" spans="1:14" x14ac:dyDescent="0.25">
      <c r="A145" s="13" t="s">
        <v>229</v>
      </c>
      <c r="B145" s="14" t="s">
        <v>200</v>
      </c>
      <c r="C145" s="13" t="s">
        <v>60</v>
      </c>
      <c r="D145" s="13" t="s">
        <v>40</v>
      </c>
      <c r="E145" s="15">
        <v>40</v>
      </c>
      <c r="F145" s="15">
        <v>2</v>
      </c>
      <c r="G145" s="15">
        <v>80</v>
      </c>
      <c r="H145" s="13" t="s">
        <v>61</v>
      </c>
      <c r="I145" s="13" t="s">
        <v>77</v>
      </c>
      <c r="J145" s="13" t="s">
        <v>65</v>
      </c>
      <c r="K145" s="13" t="s">
        <v>18</v>
      </c>
      <c r="L145" s="16" t="str">
        <f t="shared" si="6"/>
        <v>Feb</v>
      </c>
      <c r="M145" s="17" t="str">
        <f t="shared" si="7"/>
        <v>Thu</v>
      </c>
      <c r="N145" s="17" t="str">
        <f t="shared" si="8"/>
        <v>Correct</v>
      </c>
    </row>
    <row r="146" spans="1:14" x14ac:dyDescent="0.25">
      <c r="A146" s="13" t="s">
        <v>230</v>
      </c>
      <c r="B146" s="14">
        <v>45872</v>
      </c>
      <c r="C146" s="13" t="s">
        <v>37</v>
      </c>
      <c r="D146" s="13" t="s">
        <v>22</v>
      </c>
      <c r="E146" s="15">
        <v>150</v>
      </c>
      <c r="F146" s="15">
        <v>2</v>
      </c>
      <c r="G146" s="15">
        <v>300</v>
      </c>
      <c r="H146" s="13" t="s">
        <v>61</v>
      </c>
      <c r="I146" s="13" t="s">
        <v>71</v>
      </c>
      <c r="J146" s="13" t="s">
        <v>17</v>
      </c>
      <c r="K146" s="13" t="s">
        <v>18</v>
      </c>
      <c r="L146" s="16" t="str">
        <f t="shared" si="6"/>
        <v>Aug</v>
      </c>
      <c r="M146" s="17" t="str">
        <f t="shared" si="7"/>
        <v>Sun</v>
      </c>
      <c r="N146" s="17" t="str">
        <f t="shared" si="8"/>
        <v>Correct</v>
      </c>
    </row>
    <row r="147" spans="1:14" x14ac:dyDescent="0.25">
      <c r="A147" s="13" t="s">
        <v>231</v>
      </c>
      <c r="B147" s="14" t="s">
        <v>153</v>
      </c>
      <c r="C147" s="13" t="s">
        <v>37</v>
      </c>
      <c r="D147" s="13" t="s">
        <v>22</v>
      </c>
      <c r="E147" s="15">
        <v>150</v>
      </c>
      <c r="F147" s="15">
        <v>2</v>
      </c>
      <c r="G147" s="15">
        <v>300</v>
      </c>
      <c r="H147" s="13" t="s">
        <v>15</v>
      </c>
      <c r="I147" s="13" t="s">
        <v>51</v>
      </c>
      <c r="J147" s="13" t="s">
        <v>17</v>
      </c>
      <c r="K147" s="13" t="s">
        <v>45</v>
      </c>
      <c r="L147" s="16" t="str">
        <f t="shared" si="6"/>
        <v>Mar</v>
      </c>
      <c r="M147" s="17" t="str">
        <f t="shared" si="7"/>
        <v>Tue</v>
      </c>
      <c r="N147" s="17" t="str">
        <f t="shared" si="8"/>
        <v>Correct</v>
      </c>
    </row>
    <row r="148" spans="1:14" x14ac:dyDescent="0.25">
      <c r="A148" s="13" t="s">
        <v>232</v>
      </c>
      <c r="B148" s="14">
        <v>45779</v>
      </c>
      <c r="C148" s="13" t="s">
        <v>13</v>
      </c>
      <c r="D148" s="13" t="s">
        <v>14</v>
      </c>
      <c r="E148" s="15">
        <v>60</v>
      </c>
      <c r="F148" s="15">
        <v>5</v>
      </c>
      <c r="G148" s="15">
        <v>300</v>
      </c>
      <c r="H148" s="13" t="s">
        <v>93</v>
      </c>
      <c r="I148" s="13" t="s">
        <v>34</v>
      </c>
      <c r="J148" s="13" t="s">
        <v>44</v>
      </c>
      <c r="K148" s="13" t="s">
        <v>25</v>
      </c>
      <c r="L148" s="16" t="str">
        <f t="shared" si="6"/>
        <v>May</v>
      </c>
      <c r="M148" s="17" t="str">
        <f t="shared" si="7"/>
        <v>Fri</v>
      </c>
      <c r="N148" s="17" t="str">
        <f t="shared" si="8"/>
        <v>Correct</v>
      </c>
    </row>
    <row r="149" spans="1:14" x14ac:dyDescent="0.25">
      <c r="A149" s="13" t="s">
        <v>233</v>
      </c>
      <c r="B149" s="14">
        <v>45810</v>
      </c>
      <c r="C149" s="13" t="s">
        <v>21</v>
      </c>
      <c r="D149" s="13" t="s">
        <v>22</v>
      </c>
      <c r="E149" s="15">
        <v>100</v>
      </c>
      <c r="F149" s="15">
        <v>4</v>
      </c>
      <c r="G149" s="15">
        <v>400</v>
      </c>
      <c r="H149" s="13" t="s">
        <v>23</v>
      </c>
      <c r="I149" s="13" t="s">
        <v>77</v>
      </c>
      <c r="J149" s="13" t="s">
        <v>30</v>
      </c>
      <c r="K149" s="13" t="s">
        <v>18</v>
      </c>
      <c r="L149" s="16" t="str">
        <f t="shared" si="6"/>
        <v>Jun</v>
      </c>
      <c r="M149" s="17" t="str">
        <f t="shared" si="7"/>
        <v>Mon</v>
      </c>
      <c r="N149" s="17" t="str">
        <f t="shared" si="8"/>
        <v>Correct</v>
      </c>
    </row>
    <row r="150" spans="1:14" x14ac:dyDescent="0.25">
      <c r="A150" s="13" t="s">
        <v>234</v>
      </c>
      <c r="B150" s="14" t="s">
        <v>20</v>
      </c>
      <c r="C150" s="13" t="s">
        <v>13</v>
      </c>
      <c r="D150" s="13" t="s">
        <v>14</v>
      </c>
      <c r="E150" s="15">
        <v>60</v>
      </c>
      <c r="F150" s="15">
        <v>3</v>
      </c>
      <c r="G150" s="15">
        <v>180</v>
      </c>
      <c r="H150" s="13" t="s">
        <v>61</v>
      </c>
      <c r="I150" s="13" t="s">
        <v>16</v>
      </c>
      <c r="J150" s="13" t="s">
        <v>65</v>
      </c>
      <c r="K150" s="13" t="s">
        <v>25</v>
      </c>
      <c r="L150" s="16" t="str">
        <f t="shared" si="6"/>
        <v>Mar</v>
      </c>
      <c r="M150" s="17" t="str">
        <f t="shared" si="7"/>
        <v>Thu</v>
      </c>
      <c r="N150" s="17" t="str">
        <f t="shared" si="8"/>
        <v>Correct</v>
      </c>
    </row>
    <row r="151" spans="1:14" x14ac:dyDescent="0.25">
      <c r="A151" s="13" t="s">
        <v>235</v>
      </c>
      <c r="B151" s="14">
        <v>45871</v>
      </c>
      <c r="C151" s="13" t="s">
        <v>55</v>
      </c>
      <c r="D151" s="13" t="s">
        <v>56</v>
      </c>
      <c r="E151" s="15">
        <v>15</v>
      </c>
      <c r="F151" s="15">
        <v>4</v>
      </c>
      <c r="G151" s="15">
        <v>60</v>
      </c>
      <c r="H151" s="13" t="s">
        <v>64</v>
      </c>
      <c r="I151" s="13" t="s">
        <v>94</v>
      </c>
      <c r="J151" s="13" t="s">
        <v>65</v>
      </c>
      <c r="K151" s="13" t="s">
        <v>18</v>
      </c>
      <c r="L151" s="16" t="str">
        <f t="shared" si="6"/>
        <v>Aug</v>
      </c>
      <c r="M151" s="17" t="str">
        <f t="shared" si="7"/>
        <v>Sat</v>
      </c>
      <c r="N151" s="17" t="str">
        <f t="shared" si="8"/>
        <v>Correct</v>
      </c>
    </row>
    <row r="152" spans="1:14" x14ac:dyDescent="0.25">
      <c r="A152" s="13" t="s">
        <v>236</v>
      </c>
      <c r="B152" s="14" t="s">
        <v>237</v>
      </c>
      <c r="C152" s="13" t="s">
        <v>67</v>
      </c>
      <c r="D152" s="13" t="s">
        <v>68</v>
      </c>
      <c r="E152" s="15">
        <v>600</v>
      </c>
      <c r="F152" s="15">
        <v>4</v>
      </c>
      <c r="G152" s="15">
        <v>2400</v>
      </c>
      <c r="H152" s="13" t="s">
        <v>93</v>
      </c>
      <c r="I152" s="13" t="s">
        <v>77</v>
      </c>
      <c r="J152" s="13" t="s">
        <v>30</v>
      </c>
      <c r="K152" s="13" t="s">
        <v>25</v>
      </c>
      <c r="L152" s="16" t="str">
        <f t="shared" si="6"/>
        <v>Mar</v>
      </c>
      <c r="M152" s="17" t="str">
        <f t="shared" si="7"/>
        <v>Sat</v>
      </c>
      <c r="N152" s="17" t="str">
        <f t="shared" si="8"/>
        <v>Correct</v>
      </c>
    </row>
    <row r="153" spans="1:14" x14ac:dyDescent="0.25">
      <c r="A153" s="13" t="s">
        <v>238</v>
      </c>
      <c r="B153" s="14" t="s">
        <v>163</v>
      </c>
      <c r="C153" s="13" t="s">
        <v>37</v>
      </c>
      <c r="D153" s="13" t="s">
        <v>22</v>
      </c>
      <c r="E153" s="15">
        <v>150</v>
      </c>
      <c r="F153" s="15">
        <v>1</v>
      </c>
      <c r="G153" s="15">
        <v>150</v>
      </c>
      <c r="H153" s="13" t="s">
        <v>28</v>
      </c>
      <c r="I153" s="13" t="s">
        <v>71</v>
      </c>
      <c r="J153" s="13" t="s">
        <v>65</v>
      </c>
      <c r="K153" s="13" t="s">
        <v>45</v>
      </c>
      <c r="L153" s="16" t="str">
        <f t="shared" si="6"/>
        <v>Feb</v>
      </c>
      <c r="M153" s="17" t="str">
        <f t="shared" si="7"/>
        <v>Fri</v>
      </c>
      <c r="N153" s="17" t="str">
        <f t="shared" si="8"/>
        <v>Correct</v>
      </c>
    </row>
    <row r="154" spans="1:14" x14ac:dyDescent="0.25">
      <c r="A154" s="13" t="s">
        <v>239</v>
      </c>
      <c r="B154" s="14" t="s">
        <v>85</v>
      </c>
      <c r="C154" s="13" t="s">
        <v>37</v>
      </c>
      <c r="D154" s="13" t="s">
        <v>22</v>
      </c>
      <c r="E154" s="15">
        <v>150</v>
      </c>
      <c r="F154" s="15">
        <v>5</v>
      </c>
      <c r="G154" s="15">
        <v>750</v>
      </c>
      <c r="H154" s="13" t="s">
        <v>48</v>
      </c>
      <c r="I154" s="13" t="s">
        <v>24</v>
      </c>
      <c r="J154" s="13" t="s">
        <v>44</v>
      </c>
      <c r="K154" s="13" t="s">
        <v>25</v>
      </c>
      <c r="L154" s="16" t="str">
        <f t="shared" si="6"/>
        <v>Feb</v>
      </c>
      <c r="M154" s="17" t="str">
        <f t="shared" si="7"/>
        <v>Sun</v>
      </c>
      <c r="N154" s="17" t="str">
        <f t="shared" si="8"/>
        <v>Correct</v>
      </c>
    </row>
    <row r="155" spans="1:14" x14ac:dyDescent="0.25">
      <c r="A155" s="13" t="s">
        <v>240</v>
      </c>
      <c r="B155" s="14">
        <v>45660</v>
      </c>
      <c r="C155" s="13" t="s">
        <v>21</v>
      </c>
      <c r="D155" s="13" t="s">
        <v>22</v>
      </c>
      <c r="E155" s="15">
        <v>100</v>
      </c>
      <c r="F155" s="15">
        <v>2</v>
      </c>
      <c r="G155" s="15">
        <v>200</v>
      </c>
      <c r="H155" s="13" t="s">
        <v>28</v>
      </c>
      <c r="I155" s="13" t="s">
        <v>29</v>
      </c>
      <c r="J155" s="13" t="s">
        <v>17</v>
      </c>
      <c r="K155" s="13" t="s">
        <v>45</v>
      </c>
      <c r="L155" s="16" t="str">
        <f t="shared" si="6"/>
        <v>Jan</v>
      </c>
      <c r="M155" s="17" t="str">
        <f t="shared" si="7"/>
        <v>Fri</v>
      </c>
      <c r="N155" s="17" t="str">
        <f t="shared" si="8"/>
        <v>Correct</v>
      </c>
    </row>
    <row r="156" spans="1:14" x14ac:dyDescent="0.25">
      <c r="A156" s="13" t="s">
        <v>241</v>
      </c>
      <c r="B156" s="14">
        <v>45779</v>
      </c>
      <c r="C156" s="13" t="s">
        <v>74</v>
      </c>
      <c r="D156" s="13" t="s">
        <v>68</v>
      </c>
      <c r="E156" s="15">
        <v>1200</v>
      </c>
      <c r="F156" s="15">
        <v>4</v>
      </c>
      <c r="G156" s="15">
        <v>4800</v>
      </c>
      <c r="H156" s="13" t="s">
        <v>48</v>
      </c>
      <c r="I156" s="13" t="s">
        <v>71</v>
      </c>
      <c r="J156" s="13" t="s">
        <v>35</v>
      </c>
      <c r="K156" s="13" t="s">
        <v>25</v>
      </c>
      <c r="L156" s="16" t="str">
        <f t="shared" si="6"/>
        <v>May</v>
      </c>
      <c r="M156" s="17" t="str">
        <f t="shared" si="7"/>
        <v>Fri</v>
      </c>
      <c r="N156" s="17" t="str">
        <f t="shared" si="8"/>
        <v>Correct</v>
      </c>
    </row>
    <row r="157" spans="1:14" x14ac:dyDescent="0.25">
      <c r="A157" s="13" t="s">
        <v>242</v>
      </c>
      <c r="B157" s="14" t="s">
        <v>141</v>
      </c>
      <c r="C157" s="13" t="s">
        <v>37</v>
      </c>
      <c r="D157" s="13" t="s">
        <v>22</v>
      </c>
      <c r="E157" s="15">
        <v>150</v>
      </c>
      <c r="F157" s="15">
        <v>4</v>
      </c>
      <c r="G157" s="15">
        <v>600</v>
      </c>
      <c r="H157" s="13" t="s">
        <v>33</v>
      </c>
      <c r="I157" s="13" t="s">
        <v>49</v>
      </c>
      <c r="J157" s="13" t="s">
        <v>44</v>
      </c>
      <c r="K157" s="13" t="s">
        <v>18</v>
      </c>
      <c r="L157" s="16" t="str">
        <f t="shared" si="6"/>
        <v>Mar</v>
      </c>
      <c r="M157" s="17" t="str">
        <f t="shared" si="7"/>
        <v>Sun</v>
      </c>
      <c r="N157" s="17" t="str">
        <f t="shared" si="8"/>
        <v>Correct</v>
      </c>
    </row>
    <row r="158" spans="1:14" x14ac:dyDescent="0.25">
      <c r="A158" s="13" t="s">
        <v>243</v>
      </c>
      <c r="B158" s="14">
        <v>45871</v>
      </c>
      <c r="C158" s="13" t="s">
        <v>47</v>
      </c>
      <c r="D158" s="13" t="s">
        <v>22</v>
      </c>
      <c r="E158" s="15">
        <v>500</v>
      </c>
      <c r="F158" s="15">
        <v>3</v>
      </c>
      <c r="G158" s="15">
        <v>1500</v>
      </c>
      <c r="H158" s="13" t="s">
        <v>48</v>
      </c>
      <c r="I158" s="13" t="s">
        <v>29</v>
      </c>
      <c r="J158" s="13" t="s">
        <v>35</v>
      </c>
      <c r="K158" s="13" t="s">
        <v>25</v>
      </c>
      <c r="L158" s="16" t="str">
        <f t="shared" si="6"/>
        <v>Aug</v>
      </c>
      <c r="M158" s="17" t="str">
        <f t="shared" si="7"/>
        <v>Sat</v>
      </c>
      <c r="N158" s="17" t="str">
        <f t="shared" si="8"/>
        <v>Correct</v>
      </c>
    </row>
    <row r="159" spans="1:14" x14ac:dyDescent="0.25">
      <c r="A159" s="13" t="s">
        <v>244</v>
      </c>
      <c r="B159" s="14" t="s">
        <v>124</v>
      </c>
      <c r="C159" s="13" t="s">
        <v>63</v>
      </c>
      <c r="D159" s="13" t="s">
        <v>22</v>
      </c>
      <c r="E159" s="15">
        <v>800</v>
      </c>
      <c r="F159" s="15">
        <v>3</v>
      </c>
      <c r="G159" s="15">
        <v>2400</v>
      </c>
      <c r="H159" s="13" t="s">
        <v>82</v>
      </c>
      <c r="I159" s="13" t="s">
        <v>49</v>
      </c>
      <c r="J159" s="13" t="s">
        <v>17</v>
      </c>
      <c r="K159" s="13" t="s">
        <v>25</v>
      </c>
      <c r="L159" s="16" t="str">
        <f t="shared" si="6"/>
        <v>Feb</v>
      </c>
      <c r="M159" s="17" t="str">
        <f t="shared" si="7"/>
        <v>Mon</v>
      </c>
      <c r="N159" s="17" t="str">
        <f t="shared" si="8"/>
        <v>Correct</v>
      </c>
    </row>
    <row r="160" spans="1:14" x14ac:dyDescent="0.25">
      <c r="A160" s="13" t="s">
        <v>245</v>
      </c>
      <c r="B160" s="14" t="s">
        <v>104</v>
      </c>
      <c r="C160" s="13" t="s">
        <v>39</v>
      </c>
      <c r="D160" s="13" t="s">
        <v>40</v>
      </c>
      <c r="E160" s="15">
        <v>20</v>
      </c>
      <c r="F160" s="15">
        <v>2</v>
      </c>
      <c r="G160" s="15">
        <v>40</v>
      </c>
      <c r="H160" s="13" t="s">
        <v>57</v>
      </c>
      <c r="I160" s="13" t="s">
        <v>34</v>
      </c>
      <c r="J160" s="13" t="s">
        <v>65</v>
      </c>
      <c r="K160" s="13" t="s">
        <v>18</v>
      </c>
      <c r="L160" s="16" t="str">
        <f t="shared" si="6"/>
        <v>Feb</v>
      </c>
      <c r="M160" s="17" t="str">
        <f t="shared" si="7"/>
        <v>Sun</v>
      </c>
      <c r="N160" s="17" t="str">
        <f t="shared" si="8"/>
        <v>Correct</v>
      </c>
    </row>
    <row r="161" spans="1:14" x14ac:dyDescent="0.25">
      <c r="A161" s="13" t="s">
        <v>246</v>
      </c>
      <c r="B161" s="14">
        <v>45810</v>
      </c>
      <c r="C161" s="13" t="s">
        <v>67</v>
      </c>
      <c r="D161" s="13" t="s">
        <v>68</v>
      </c>
      <c r="E161" s="15">
        <v>600</v>
      </c>
      <c r="F161" s="15">
        <v>3</v>
      </c>
      <c r="G161" s="15">
        <v>1800</v>
      </c>
      <c r="H161" s="13" t="s">
        <v>33</v>
      </c>
      <c r="I161" s="13" t="s">
        <v>29</v>
      </c>
      <c r="J161" s="13" t="s">
        <v>65</v>
      </c>
      <c r="K161" s="13" t="s">
        <v>18</v>
      </c>
      <c r="L161" s="16" t="str">
        <f t="shared" si="6"/>
        <v>Jun</v>
      </c>
      <c r="M161" s="17" t="str">
        <f t="shared" si="7"/>
        <v>Mon</v>
      </c>
      <c r="N161" s="17" t="str">
        <f t="shared" si="8"/>
        <v>Correct</v>
      </c>
    </row>
    <row r="162" spans="1:14" x14ac:dyDescent="0.25">
      <c r="A162" s="13" t="s">
        <v>247</v>
      </c>
      <c r="B162" s="14" t="s">
        <v>185</v>
      </c>
      <c r="C162" s="13" t="s">
        <v>21</v>
      </c>
      <c r="D162" s="13" t="s">
        <v>22</v>
      </c>
      <c r="E162" s="15">
        <v>100</v>
      </c>
      <c r="F162" s="15">
        <v>1</v>
      </c>
      <c r="G162" s="15">
        <v>100</v>
      </c>
      <c r="H162" s="13" t="s">
        <v>23</v>
      </c>
      <c r="I162" s="13" t="s">
        <v>77</v>
      </c>
      <c r="J162" s="13" t="s">
        <v>35</v>
      </c>
      <c r="K162" s="13" t="s">
        <v>45</v>
      </c>
      <c r="L162" s="16" t="str">
        <f t="shared" si="6"/>
        <v>Feb</v>
      </c>
      <c r="M162" s="17" t="str">
        <f t="shared" si="7"/>
        <v>Sat</v>
      </c>
      <c r="N162" s="17" t="str">
        <f t="shared" si="8"/>
        <v>Correct</v>
      </c>
    </row>
    <row r="163" spans="1:14" x14ac:dyDescent="0.25">
      <c r="A163" s="13" t="s">
        <v>248</v>
      </c>
      <c r="B163" s="14">
        <v>45902</v>
      </c>
      <c r="C163" s="13" t="s">
        <v>47</v>
      </c>
      <c r="D163" s="13" t="s">
        <v>22</v>
      </c>
      <c r="E163" s="15">
        <v>500</v>
      </c>
      <c r="F163" s="15">
        <v>2</v>
      </c>
      <c r="G163" s="15">
        <v>1000</v>
      </c>
      <c r="H163" s="13" t="s">
        <v>33</v>
      </c>
      <c r="I163" s="13" t="s">
        <v>94</v>
      </c>
      <c r="J163" s="13" t="s">
        <v>35</v>
      </c>
      <c r="K163" s="13" t="s">
        <v>45</v>
      </c>
      <c r="L163" s="16" t="str">
        <f t="shared" si="6"/>
        <v>Sep</v>
      </c>
      <c r="M163" s="17" t="str">
        <f t="shared" si="7"/>
        <v>Tue</v>
      </c>
      <c r="N163" s="17" t="str">
        <f t="shared" si="8"/>
        <v>Correct</v>
      </c>
    </row>
    <row r="164" spans="1:14" x14ac:dyDescent="0.25">
      <c r="A164" s="13" t="s">
        <v>249</v>
      </c>
      <c r="B164" s="14" t="s">
        <v>70</v>
      </c>
      <c r="C164" s="13" t="s">
        <v>13</v>
      </c>
      <c r="D164" s="13" t="s">
        <v>14</v>
      </c>
      <c r="E164" s="15">
        <v>60</v>
      </c>
      <c r="F164" s="15">
        <v>2</v>
      </c>
      <c r="G164" s="15">
        <v>120</v>
      </c>
      <c r="H164" s="13" t="s">
        <v>82</v>
      </c>
      <c r="I164" s="13" t="s">
        <v>43</v>
      </c>
      <c r="J164" s="13" t="s">
        <v>44</v>
      </c>
      <c r="K164" s="13" t="s">
        <v>45</v>
      </c>
      <c r="L164" s="16" t="str">
        <f t="shared" si="6"/>
        <v>Feb</v>
      </c>
      <c r="M164" s="17" t="str">
        <f t="shared" si="7"/>
        <v>Thu</v>
      </c>
      <c r="N164" s="17" t="str">
        <f t="shared" si="8"/>
        <v>Correct</v>
      </c>
    </row>
    <row r="165" spans="1:14" x14ac:dyDescent="0.25">
      <c r="A165" s="13" t="s">
        <v>250</v>
      </c>
      <c r="B165" s="14" t="s">
        <v>147</v>
      </c>
      <c r="C165" s="13" t="s">
        <v>37</v>
      </c>
      <c r="D165" s="13" t="s">
        <v>22</v>
      </c>
      <c r="E165" s="15">
        <v>150</v>
      </c>
      <c r="F165" s="15">
        <v>5</v>
      </c>
      <c r="G165" s="15">
        <v>750</v>
      </c>
      <c r="H165" s="13" t="s">
        <v>61</v>
      </c>
      <c r="I165" s="13" t="s">
        <v>51</v>
      </c>
      <c r="J165" s="13" t="s">
        <v>17</v>
      </c>
      <c r="K165" s="13" t="s">
        <v>25</v>
      </c>
      <c r="L165" s="16" t="str">
        <f t="shared" si="6"/>
        <v>Feb</v>
      </c>
      <c r="M165" s="17" t="str">
        <f t="shared" si="7"/>
        <v>Tue</v>
      </c>
      <c r="N165" s="17" t="str">
        <f t="shared" si="8"/>
        <v>Correct</v>
      </c>
    </row>
    <row r="166" spans="1:14" x14ac:dyDescent="0.25">
      <c r="A166" s="13" t="s">
        <v>251</v>
      </c>
      <c r="B166" s="14" t="s">
        <v>12</v>
      </c>
      <c r="C166" s="13" t="s">
        <v>55</v>
      </c>
      <c r="D166" s="13" t="s">
        <v>56</v>
      </c>
      <c r="E166" s="15">
        <v>15</v>
      </c>
      <c r="F166" s="15">
        <v>1</v>
      </c>
      <c r="G166" s="15">
        <v>15</v>
      </c>
      <c r="H166" s="13" t="s">
        <v>57</v>
      </c>
      <c r="I166" s="13" t="s">
        <v>16</v>
      </c>
      <c r="J166" s="13" t="s">
        <v>30</v>
      </c>
      <c r="K166" s="13" t="s">
        <v>25</v>
      </c>
      <c r="L166" s="16" t="str">
        <f t="shared" si="6"/>
        <v>Mar</v>
      </c>
      <c r="M166" s="17" t="str">
        <f t="shared" si="7"/>
        <v>Fri</v>
      </c>
      <c r="N166" s="17" t="str">
        <f t="shared" si="8"/>
        <v>Correct</v>
      </c>
    </row>
    <row r="167" spans="1:14" x14ac:dyDescent="0.25">
      <c r="A167" s="13" t="s">
        <v>252</v>
      </c>
      <c r="B167" s="14" t="s">
        <v>137</v>
      </c>
      <c r="C167" s="13" t="s">
        <v>67</v>
      </c>
      <c r="D167" s="13" t="s">
        <v>68</v>
      </c>
      <c r="E167" s="15">
        <v>600</v>
      </c>
      <c r="F167" s="15">
        <v>4</v>
      </c>
      <c r="G167" s="15">
        <v>2400</v>
      </c>
      <c r="H167" s="13" t="s">
        <v>82</v>
      </c>
      <c r="I167" s="13" t="s">
        <v>43</v>
      </c>
      <c r="J167" s="13" t="s">
        <v>35</v>
      </c>
      <c r="K167" s="13" t="s">
        <v>25</v>
      </c>
      <c r="L167" s="16" t="str">
        <f t="shared" si="6"/>
        <v>Mar</v>
      </c>
      <c r="M167" s="17" t="str">
        <f t="shared" si="7"/>
        <v>Sun</v>
      </c>
      <c r="N167" s="17" t="str">
        <f t="shared" si="8"/>
        <v>Correct</v>
      </c>
    </row>
    <row r="168" spans="1:14" x14ac:dyDescent="0.25">
      <c r="A168" s="13" t="s">
        <v>253</v>
      </c>
      <c r="B168" s="14" t="s">
        <v>20</v>
      </c>
      <c r="C168" s="13" t="s">
        <v>74</v>
      </c>
      <c r="D168" s="13" t="s">
        <v>68</v>
      </c>
      <c r="E168" s="15">
        <v>1200</v>
      </c>
      <c r="F168" s="15">
        <v>2</v>
      </c>
      <c r="G168" s="15">
        <v>2400</v>
      </c>
      <c r="H168" s="13" t="s">
        <v>33</v>
      </c>
      <c r="I168" s="13" t="s">
        <v>71</v>
      </c>
      <c r="J168" s="13" t="s">
        <v>35</v>
      </c>
      <c r="K168" s="13" t="s">
        <v>45</v>
      </c>
      <c r="L168" s="16" t="str">
        <f t="shared" si="6"/>
        <v>Mar</v>
      </c>
      <c r="M168" s="17" t="str">
        <f t="shared" si="7"/>
        <v>Thu</v>
      </c>
      <c r="N168" s="17" t="str">
        <f t="shared" si="8"/>
        <v>Correct</v>
      </c>
    </row>
    <row r="169" spans="1:14" x14ac:dyDescent="0.25">
      <c r="A169" s="13" t="s">
        <v>254</v>
      </c>
      <c r="B169" s="14" t="s">
        <v>87</v>
      </c>
      <c r="C169" s="13" t="s">
        <v>63</v>
      </c>
      <c r="D169" s="13" t="s">
        <v>22</v>
      </c>
      <c r="E169" s="15">
        <v>800</v>
      </c>
      <c r="F169" s="15">
        <v>5</v>
      </c>
      <c r="G169" s="15">
        <v>4000</v>
      </c>
      <c r="H169" s="13" t="s">
        <v>61</v>
      </c>
      <c r="I169" s="13" t="s">
        <v>49</v>
      </c>
      <c r="J169" s="13" t="s">
        <v>17</v>
      </c>
      <c r="K169" s="13" t="s">
        <v>25</v>
      </c>
      <c r="L169" s="16" t="str">
        <f t="shared" si="6"/>
        <v>Mar</v>
      </c>
      <c r="M169" s="17" t="str">
        <f t="shared" si="7"/>
        <v>Mon</v>
      </c>
      <c r="N169" s="17" t="str">
        <f t="shared" si="8"/>
        <v>Correct</v>
      </c>
    </row>
    <row r="170" spans="1:14" x14ac:dyDescent="0.25">
      <c r="A170" s="13" t="s">
        <v>255</v>
      </c>
      <c r="B170" s="14">
        <v>45811</v>
      </c>
      <c r="C170" s="13" t="s">
        <v>74</v>
      </c>
      <c r="D170" s="13" t="s">
        <v>68</v>
      </c>
      <c r="E170" s="15">
        <v>1200</v>
      </c>
      <c r="F170" s="15">
        <v>2</v>
      </c>
      <c r="G170" s="15">
        <v>2400</v>
      </c>
      <c r="H170" s="13" t="s">
        <v>28</v>
      </c>
      <c r="I170" s="13" t="s">
        <v>29</v>
      </c>
      <c r="J170" s="13" t="s">
        <v>44</v>
      </c>
      <c r="K170" s="13" t="s">
        <v>45</v>
      </c>
      <c r="L170" s="16" t="str">
        <f t="shared" si="6"/>
        <v>Jun</v>
      </c>
      <c r="M170" s="17" t="str">
        <f t="shared" si="7"/>
        <v>Tue</v>
      </c>
      <c r="N170" s="17" t="str">
        <f t="shared" si="8"/>
        <v>Correct</v>
      </c>
    </row>
    <row r="171" spans="1:14" x14ac:dyDescent="0.25">
      <c r="A171" s="13" t="s">
        <v>256</v>
      </c>
      <c r="B171" s="14" t="s">
        <v>163</v>
      </c>
      <c r="C171" s="13" t="s">
        <v>63</v>
      </c>
      <c r="D171" s="13" t="s">
        <v>22</v>
      </c>
      <c r="E171" s="15">
        <v>800</v>
      </c>
      <c r="F171" s="15">
        <v>1</v>
      </c>
      <c r="G171" s="15">
        <v>800</v>
      </c>
      <c r="H171" s="13" t="s">
        <v>15</v>
      </c>
      <c r="I171" s="13" t="s">
        <v>24</v>
      </c>
      <c r="J171" s="13" t="s">
        <v>65</v>
      </c>
      <c r="K171" s="13" t="s">
        <v>25</v>
      </c>
      <c r="L171" s="16" t="str">
        <f t="shared" si="6"/>
        <v>Feb</v>
      </c>
      <c r="M171" s="17" t="str">
        <f t="shared" si="7"/>
        <v>Fri</v>
      </c>
      <c r="N171" s="17" t="str">
        <f t="shared" si="8"/>
        <v>Correct</v>
      </c>
    </row>
    <row r="172" spans="1:14" x14ac:dyDescent="0.25">
      <c r="A172" s="13" t="s">
        <v>257</v>
      </c>
      <c r="B172" s="14" t="s">
        <v>163</v>
      </c>
      <c r="C172" s="13" t="s">
        <v>37</v>
      </c>
      <c r="D172" s="13" t="s">
        <v>22</v>
      </c>
      <c r="E172" s="15">
        <v>150</v>
      </c>
      <c r="F172" s="15">
        <v>2</v>
      </c>
      <c r="G172" s="15">
        <v>300</v>
      </c>
      <c r="H172" s="13" t="s">
        <v>64</v>
      </c>
      <c r="I172" s="13" t="s">
        <v>43</v>
      </c>
      <c r="J172" s="13" t="s">
        <v>44</v>
      </c>
      <c r="K172" s="13" t="s">
        <v>45</v>
      </c>
      <c r="L172" s="16" t="str">
        <f t="shared" si="6"/>
        <v>Feb</v>
      </c>
      <c r="M172" s="17" t="str">
        <f t="shared" si="7"/>
        <v>Fri</v>
      </c>
      <c r="N172" s="17" t="str">
        <f t="shared" si="8"/>
        <v>Correct</v>
      </c>
    </row>
    <row r="173" spans="1:14" x14ac:dyDescent="0.25">
      <c r="A173" s="13" t="s">
        <v>258</v>
      </c>
      <c r="B173" s="14">
        <v>45994</v>
      </c>
      <c r="C173" s="13" t="s">
        <v>55</v>
      </c>
      <c r="D173" s="13" t="s">
        <v>56</v>
      </c>
      <c r="E173" s="15">
        <v>15</v>
      </c>
      <c r="F173" s="15">
        <v>1</v>
      </c>
      <c r="G173" s="15">
        <v>15</v>
      </c>
      <c r="H173" s="13" t="s">
        <v>57</v>
      </c>
      <c r="I173" s="13" t="s">
        <v>49</v>
      </c>
      <c r="J173" s="13" t="s">
        <v>17</v>
      </c>
      <c r="K173" s="13" t="s">
        <v>18</v>
      </c>
      <c r="L173" s="16" t="str">
        <f t="shared" si="6"/>
        <v>Dec</v>
      </c>
      <c r="M173" s="17" t="str">
        <f t="shared" si="7"/>
        <v>Wed</v>
      </c>
      <c r="N173" s="17" t="str">
        <f t="shared" si="8"/>
        <v>Correct</v>
      </c>
    </row>
    <row r="174" spans="1:14" x14ac:dyDescent="0.25">
      <c r="A174" s="13" t="s">
        <v>259</v>
      </c>
      <c r="B174" s="14" t="s">
        <v>163</v>
      </c>
      <c r="C174" s="13" t="s">
        <v>74</v>
      </c>
      <c r="D174" s="13" t="s">
        <v>68</v>
      </c>
      <c r="E174" s="15">
        <v>1200</v>
      </c>
      <c r="F174" s="15">
        <v>1</v>
      </c>
      <c r="G174" s="15">
        <v>1200</v>
      </c>
      <c r="H174" s="13" t="s">
        <v>33</v>
      </c>
      <c r="I174" s="13" t="s">
        <v>71</v>
      </c>
      <c r="J174" s="13" t="s">
        <v>44</v>
      </c>
      <c r="K174" s="13" t="s">
        <v>45</v>
      </c>
      <c r="L174" s="16" t="str">
        <f t="shared" si="6"/>
        <v>Feb</v>
      </c>
      <c r="M174" s="17" t="str">
        <f t="shared" si="7"/>
        <v>Fri</v>
      </c>
      <c r="N174" s="17" t="str">
        <f t="shared" si="8"/>
        <v>Correct</v>
      </c>
    </row>
    <row r="175" spans="1:14" x14ac:dyDescent="0.25">
      <c r="A175" s="13" t="s">
        <v>260</v>
      </c>
      <c r="B175" s="14" t="s">
        <v>59</v>
      </c>
      <c r="C175" s="13" t="s">
        <v>37</v>
      </c>
      <c r="D175" s="13" t="s">
        <v>22</v>
      </c>
      <c r="E175" s="15">
        <v>150</v>
      </c>
      <c r="F175" s="15">
        <v>2</v>
      </c>
      <c r="G175" s="15">
        <v>300</v>
      </c>
      <c r="H175" s="13" t="s">
        <v>57</v>
      </c>
      <c r="I175" s="13" t="s">
        <v>94</v>
      </c>
      <c r="J175" s="13" t="s">
        <v>17</v>
      </c>
      <c r="K175" s="13" t="s">
        <v>25</v>
      </c>
      <c r="L175" s="16" t="str">
        <f t="shared" si="6"/>
        <v>Mar</v>
      </c>
      <c r="M175" s="17" t="str">
        <f t="shared" si="7"/>
        <v>Thu</v>
      </c>
      <c r="N175" s="17" t="str">
        <f t="shared" si="8"/>
        <v>Correct</v>
      </c>
    </row>
    <row r="176" spans="1:14" x14ac:dyDescent="0.25">
      <c r="A176" s="13" t="s">
        <v>261</v>
      </c>
      <c r="B176" s="14" t="s">
        <v>87</v>
      </c>
      <c r="C176" s="13" t="s">
        <v>60</v>
      </c>
      <c r="D176" s="13" t="s">
        <v>40</v>
      </c>
      <c r="E176" s="15">
        <v>40</v>
      </c>
      <c r="F176" s="15">
        <v>5</v>
      </c>
      <c r="G176" s="15">
        <v>200</v>
      </c>
      <c r="H176" s="13" t="s">
        <v>57</v>
      </c>
      <c r="I176" s="13" t="s">
        <v>16</v>
      </c>
      <c r="J176" s="13" t="s">
        <v>17</v>
      </c>
      <c r="K176" s="13" t="s">
        <v>18</v>
      </c>
      <c r="L176" s="16" t="str">
        <f t="shared" si="6"/>
        <v>Mar</v>
      </c>
      <c r="M176" s="17" t="str">
        <f t="shared" si="7"/>
        <v>Mon</v>
      </c>
      <c r="N176" s="17" t="str">
        <f t="shared" si="8"/>
        <v>Correct</v>
      </c>
    </row>
    <row r="177" spans="1:14" x14ac:dyDescent="0.25">
      <c r="A177" s="13" t="s">
        <v>262</v>
      </c>
      <c r="B177" s="14" t="s">
        <v>263</v>
      </c>
      <c r="C177" s="13" t="s">
        <v>55</v>
      </c>
      <c r="D177" s="13" t="s">
        <v>56</v>
      </c>
      <c r="E177" s="15">
        <v>15</v>
      </c>
      <c r="F177" s="15">
        <v>1</v>
      </c>
      <c r="G177" s="15">
        <v>15</v>
      </c>
      <c r="H177" s="13" t="s">
        <v>61</v>
      </c>
      <c r="I177" s="13" t="s">
        <v>51</v>
      </c>
      <c r="J177" s="13" t="s">
        <v>30</v>
      </c>
      <c r="K177" s="13" t="s">
        <v>45</v>
      </c>
      <c r="L177" s="16" t="str">
        <f t="shared" si="6"/>
        <v>Mar</v>
      </c>
      <c r="M177" s="17" t="str">
        <f t="shared" si="7"/>
        <v>Thu</v>
      </c>
      <c r="N177" s="17" t="str">
        <f t="shared" si="8"/>
        <v>Correct</v>
      </c>
    </row>
    <row r="178" spans="1:14" x14ac:dyDescent="0.25">
      <c r="A178" s="13" t="s">
        <v>264</v>
      </c>
      <c r="B178" s="14" t="s">
        <v>12</v>
      </c>
      <c r="C178" s="13" t="s">
        <v>55</v>
      </c>
      <c r="D178" s="13" t="s">
        <v>56</v>
      </c>
      <c r="E178" s="15">
        <v>15</v>
      </c>
      <c r="F178" s="15">
        <v>5</v>
      </c>
      <c r="G178" s="15">
        <v>75</v>
      </c>
      <c r="H178" s="13" t="s">
        <v>57</v>
      </c>
      <c r="I178" s="13" t="s">
        <v>24</v>
      </c>
      <c r="J178" s="13" t="s">
        <v>35</v>
      </c>
      <c r="K178" s="13" t="s">
        <v>25</v>
      </c>
      <c r="L178" s="16" t="str">
        <f t="shared" si="6"/>
        <v>Mar</v>
      </c>
      <c r="M178" s="17" t="str">
        <f t="shared" si="7"/>
        <v>Fri</v>
      </c>
      <c r="N178" s="17" t="str">
        <f t="shared" si="8"/>
        <v>Correct</v>
      </c>
    </row>
    <row r="179" spans="1:14" x14ac:dyDescent="0.25">
      <c r="A179" s="13" t="s">
        <v>265</v>
      </c>
      <c r="B179" s="14">
        <v>45810</v>
      </c>
      <c r="C179" s="13" t="s">
        <v>47</v>
      </c>
      <c r="D179" s="13" t="s">
        <v>22</v>
      </c>
      <c r="E179" s="15">
        <v>500</v>
      </c>
      <c r="F179" s="15">
        <v>3</v>
      </c>
      <c r="G179" s="15">
        <v>1500</v>
      </c>
      <c r="H179" s="13" t="s">
        <v>23</v>
      </c>
      <c r="I179" s="13" t="s">
        <v>94</v>
      </c>
      <c r="J179" s="13" t="s">
        <v>44</v>
      </c>
      <c r="K179" s="13" t="s">
        <v>45</v>
      </c>
      <c r="L179" s="16" t="str">
        <f t="shared" si="6"/>
        <v>Jun</v>
      </c>
      <c r="M179" s="17" t="str">
        <f t="shared" si="7"/>
        <v>Mon</v>
      </c>
      <c r="N179" s="17" t="str">
        <f t="shared" si="8"/>
        <v>Correct</v>
      </c>
    </row>
    <row r="180" spans="1:14" x14ac:dyDescent="0.25">
      <c r="A180" s="13" t="s">
        <v>266</v>
      </c>
      <c r="B180" s="14" t="s">
        <v>153</v>
      </c>
      <c r="C180" s="13" t="s">
        <v>60</v>
      </c>
      <c r="D180" s="13" t="s">
        <v>40</v>
      </c>
      <c r="E180" s="15">
        <v>40</v>
      </c>
      <c r="F180" s="15">
        <v>1</v>
      </c>
      <c r="G180" s="15">
        <v>40</v>
      </c>
      <c r="H180" s="13" t="s">
        <v>33</v>
      </c>
      <c r="I180" s="13" t="s">
        <v>71</v>
      </c>
      <c r="J180" s="13" t="s">
        <v>44</v>
      </c>
      <c r="K180" s="13" t="s">
        <v>18</v>
      </c>
      <c r="L180" s="16" t="str">
        <f t="shared" si="6"/>
        <v>Mar</v>
      </c>
      <c r="M180" s="17" t="str">
        <f t="shared" si="7"/>
        <v>Tue</v>
      </c>
      <c r="N180" s="17" t="str">
        <f t="shared" si="8"/>
        <v>Correct</v>
      </c>
    </row>
    <row r="181" spans="1:14" x14ac:dyDescent="0.25">
      <c r="A181" s="13" t="s">
        <v>267</v>
      </c>
      <c r="B181" s="14">
        <v>45750</v>
      </c>
      <c r="C181" s="13" t="s">
        <v>74</v>
      </c>
      <c r="D181" s="13" t="s">
        <v>68</v>
      </c>
      <c r="E181" s="15">
        <v>1200</v>
      </c>
      <c r="F181" s="15">
        <v>3</v>
      </c>
      <c r="G181" s="15">
        <v>3600</v>
      </c>
      <c r="H181" s="13" t="s">
        <v>57</v>
      </c>
      <c r="I181" s="13" t="s">
        <v>51</v>
      </c>
      <c r="J181" s="13" t="s">
        <v>65</v>
      </c>
      <c r="K181" s="13" t="s">
        <v>45</v>
      </c>
      <c r="L181" s="16" t="str">
        <f t="shared" si="6"/>
        <v>Apr</v>
      </c>
      <c r="M181" s="17" t="str">
        <f t="shared" si="7"/>
        <v>Thu</v>
      </c>
      <c r="N181" s="17" t="str">
        <f t="shared" si="8"/>
        <v>Correct</v>
      </c>
    </row>
    <row r="182" spans="1:14" x14ac:dyDescent="0.25">
      <c r="A182" s="13" t="s">
        <v>268</v>
      </c>
      <c r="B182" s="14">
        <v>45719</v>
      </c>
      <c r="C182" s="13" t="s">
        <v>13</v>
      </c>
      <c r="D182" s="13" t="s">
        <v>14</v>
      </c>
      <c r="E182" s="15">
        <v>60</v>
      </c>
      <c r="F182" s="15">
        <v>2</v>
      </c>
      <c r="G182" s="15">
        <v>120</v>
      </c>
      <c r="H182" s="13" t="s">
        <v>57</v>
      </c>
      <c r="I182" s="13" t="s">
        <v>77</v>
      </c>
      <c r="J182" s="13" t="s">
        <v>17</v>
      </c>
      <c r="K182" s="13" t="s">
        <v>18</v>
      </c>
      <c r="L182" s="16" t="str">
        <f t="shared" si="6"/>
        <v>Mar</v>
      </c>
      <c r="M182" s="17" t="str">
        <f t="shared" si="7"/>
        <v>Mon</v>
      </c>
      <c r="N182" s="17" t="str">
        <f t="shared" si="8"/>
        <v>Correct</v>
      </c>
    </row>
    <row r="183" spans="1:14" x14ac:dyDescent="0.25">
      <c r="A183" s="13" t="s">
        <v>269</v>
      </c>
      <c r="B183" s="14">
        <v>45692</v>
      </c>
      <c r="C183" s="13" t="s">
        <v>39</v>
      </c>
      <c r="D183" s="13" t="s">
        <v>40</v>
      </c>
      <c r="E183" s="15">
        <v>20</v>
      </c>
      <c r="F183" s="15">
        <v>5</v>
      </c>
      <c r="G183" s="15">
        <v>100</v>
      </c>
      <c r="H183" s="13" t="s">
        <v>15</v>
      </c>
      <c r="I183" s="13" t="s">
        <v>29</v>
      </c>
      <c r="J183" s="13" t="s">
        <v>44</v>
      </c>
      <c r="K183" s="13" t="s">
        <v>45</v>
      </c>
      <c r="L183" s="16" t="str">
        <f t="shared" si="6"/>
        <v>Feb</v>
      </c>
      <c r="M183" s="17" t="str">
        <f t="shared" si="7"/>
        <v>Tue</v>
      </c>
      <c r="N183" s="17" t="str">
        <f t="shared" si="8"/>
        <v>Correct</v>
      </c>
    </row>
    <row r="184" spans="1:14" x14ac:dyDescent="0.25">
      <c r="A184" s="13" t="s">
        <v>270</v>
      </c>
      <c r="B184" s="14" t="s">
        <v>153</v>
      </c>
      <c r="C184" s="13" t="s">
        <v>67</v>
      </c>
      <c r="D184" s="13" t="s">
        <v>68</v>
      </c>
      <c r="E184" s="15">
        <v>600</v>
      </c>
      <c r="F184" s="15">
        <v>1</v>
      </c>
      <c r="G184" s="15">
        <v>600</v>
      </c>
      <c r="H184" s="13" t="s">
        <v>15</v>
      </c>
      <c r="I184" s="13" t="s">
        <v>71</v>
      </c>
      <c r="J184" s="13" t="s">
        <v>17</v>
      </c>
      <c r="K184" s="13" t="s">
        <v>25</v>
      </c>
      <c r="L184" s="16" t="str">
        <f t="shared" si="6"/>
        <v>Mar</v>
      </c>
      <c r="M184" s="17" t="str">
        <f t="shared" si="7"/>
        <v>Tue</v>
      </c>
      <c r="N184" s="17" t="str">
        <f t="shared" si="8"/>
        <v>Correct</v>
      </c>
    </row>
    <row r="185" spans="1:14" x14ac:dyDescent="0.25">
      <c r="A185" s="13" t="s">
        <v>271</v>
      </c>
      <c r="B185" s="14" t="s">
        <v>54</v>
      </c>
      <c r="C185" s="13" t="s">
        <v>55</v>
      </c>
      <c r="D185" s="13" t="s">
        <v>56</v>
      </c>
      <c r="E185" s="15">
        <v>15</v>
      </c>
      <c r="F185" s="15">
        <v>5</v>
      </c>
      <c r="G185" s="15">
        <v>75</v>
      </c>
      <c r="H185" s="13" t="s">
        <v>64</v>
      </c>
      <c r="I185" s="13" t="s">
        <v>49</v>
      </c>
      <c r="J185" s="13" t="s">
        <v>17</v>
      </c>
      <c r="K185" s="13" t="s">
        <v>25</v>
      </c>
      <c r="L185" s="16" t="str">
        <f t="shared" si="6"/>
        <v>Feb</v>
      </c>
      <c r="M185" s="17" t="str">
        <f t="shared" si="7"/>
        <v>Mon</v>
      </c>
      <c r="N185" s="17" t="str">
        <f t="shared" si="8"/>
        <v>Correct</v>
      </c>
    </row>
    <row r="186" spans="1:14" x14ac:dyDescent="0.25">
      <c r="A186" s="13" t="s">
        <v>272</v>
      </c>
      <c r="B186" s="14" t="s">
        <v>79</v>
      </c>
      <c r="C186" s="13" t="s">
        <v>39</v>
      </c>
      <c r="D186" s="13" t="s">
        <v>40</v>
      </c>
      <c r="E186" s="15">
        <v>20</v>
      </c>
      <c r="F186" s="15">
        <v>1</v>
      </c>
      <c r="G186" s="15">
        <v>20</v>
      </c>
      <c r="H186" s="13" t="s">
        <v>82</v>
      </c>
      <c r="I186" s="13" t="s">
        <v>34</v>
      </c>
      <c r="J186" s="13" t="s">
        <v>17</v>
      </c>
      <c r="K186" s="13" t="s">
        <v>45</v>
      </c>
      <c r="L186" s="16" t="str">
        <f t="shared" si="6"/>
        <v>Mar</v>
      </c>
      <c r="M186" s="17" t="str">
        <f t="shared" si="7"/>
        <v>Sat</v>
      </c>
      <c r="N186" s="17" t="str">
        <f t="shared" si="8"/>
        <v>Correct</v>
      </c>
    </row>
    <row r="187" spans="1:14" x14ac:dyDescent="0.25">
      <c r="A187" s="13" t="s">
        <v>273</v>
      </c>
      <c r="B187" s="14">
        <v>45691</v>
      </c>
      <c r="C187" s="13" t="s">
        <v>67</v>
      </c>
      <c r="D187" s="13" t="s">
        <v>68</v>
      </c>
      <c r="E187" s="15">
        <v>600</v>
      </c>
      <c r="F187" s="15">
        <v>4</v>
      </c>
      <c r="G187" s="15">
        <v>2400</v>
      </c>
      <c r="H187" s="13" t="s">
        <v>61</v>
      </c>
      <c r="I187" s="13" t="s">
        <v>16</v>
      </c>
      <c r="J187" s="13" t="s">
        <v>44</v>
      </c>
      <c r="K187" s="13" t="s">
        <v>45</v>
      </c>
      <c r="L187" s="16" t="str">
        <f t="shared" si="6"/>
        <v>Feb</v>
      </c>
      <c r="M187" s="17" t="str">
        <f t="shared" si="7"/>
        <v>Mon</v>
      </c>
      <c r="N187" s="17" t="str">
        <f t="shared" si="8"/>
        <v>Correct</v>
      </c>
    </row>
    <row r="188" spans="1:14" x14ac:dyDescent="0.25">
      <c r="A188" s="13" t="s">
        <v>274</v>
      </c>
      <c r="B188" s="14" t="s">
        <v>59</v>
      </c>
      <c r="C188" s="13" t="s">
        <v>63</v>
      </c>
      <c r="D188" s="13" t="s">
        <v>22</v>
      </c>
      <c r="E188" s="15">
        <v>800</v>
      </c>
      <c r="F188" s="15">
        <v>3</v>
      </c>
      <c r="G188" s="15">
        <v>2400</v>
      </c>
      <c r="H188" s="13" t="s">
        <v>28</v>
      </c>
      <c r="I188" s="13" t="s">
        <v>16</v>
      </c>
      <c r="J188" s="13" t="s">
        <v>44</v>
      </c>
      <c r="K188" s="13" t="s">
        <v>25</v>
      </c>
      <c r="L188" s="16" t="str">
        <f t="shared" si="6"/>
        <v>Mar</v>
      </c>
      <c r="M188" s="17" t="str">
        <f t="shared" si="7"/>
        <v>Thu</v>
      </c>
      <c r="N188" s="17" t="str">
        <f t="shared" si="8"/>
        <v>Correct</v>
      </c>
    </row>
    <row r="189" spans="1:14" x14ac:dyDescent="0.25">
      <c r="A189" s="13" t="s">
        <v>275</v>
      </c>
      <c r="B189" s="14" t="s">
        <v>90</v>
      </c>
      <c r="C189" s="13" t="s">
        <v>55</v>
      </c>
      <c r="D189" s="13" t="s">
        <v>56</v>
      </c>
      <c r="E189" s="15">
        <v>15</v>
      </c>
      <c r="F189" s="15">
        <v>1</v>
      </c>
      <c r="G189" s="15">
        <v>15</v>
      </c>
      <c r="H189" s="13" t="s">
        <v>28</v>
      </c>
      <c r="I189" s="13" t="s">
        <v>51</v>
      </c>
      <c r="J189" s="13" t="s">
        <v>30</v>
      </c>
      <c r="K189" s="13" t="s">
        <v>45</v>
      </c>
      <c r="L189" s="16" t="str">
        <f t="shared" si="6"/>
        <v>Feb</v>
      </c>
      <c r="M189" s="17" t="str">
        <f t="shared" si="7"/>
        <v>Fri</v>
      </c>
      <c r="N189" s="17" t="str">
        <f t="shared" si="8"/>
        <v>Correct</v>
      </c>
    </row>
    <row r="190" spans="1:14" x14ac:dyDescent="0.25">
      <c r="A190" s="13" t="s">
        <v>276</v>
      </c>
      <c r="B190" s="14">
        <v>45932</v>
      </c>
      <c r="C190" s="13" t="s">
        <v>63</v>
      </c>
      <c r="D190" s="13" t="s">
        <v>22</v>
      </c>
      <c r="E190" s="15">
        <v>800</v>
      </c>
      <c r="F190" s="15">
        <v>3</v>
      </c>
      <c r="G190" s="15">
        <v>2400</v>
      </c>
      <c r="H190" s="13" t="s">
        <v>93</v>
      </c>
      <c r="I190" s="13" t="s">
        <v>43</v>
      </c>
      <c r="J190" s="13" t="s">
        <v>30</v>
      </c>
      <c r="K190" s="13" t="s">
        <v>45</v>
      </c>
      <c r="L190" s="16" t="str">
        <f t="shared" si="6"/>
        <v>Oct</v>
      </c>
      <c r="M190" s="17" t="str">
        <f t="shared" si="7"/>
        <v>Thu</v>
      </c>
      <c r="N190" s="17" t="str">
        <f t="shared" si="8"/>
        <v>Correct</v>
      </c>
    </row>
    <row r="191" spans="1:14" x14ac:dyDescent="0.25">
      <c r="A191" s="13" t="s">
        <v>277</v>
      </c>
      <c r="B191" s="14" t="s">
        <v>85</v>
      </c>
      <c r="C191" s="13" t="s">
        <v>13</v>
      </c>
      <c r="D191" s="13" t="s">
        <v>14</v>
      </c>
      <c r="E191" s="15">
        <v>60</v>
      </c>
      <c r="F191" s="15">
        <v>1</v>
      </c>
      <c r="G191" s="15">
        <v>60</v>
      </c>
      <c r="H191" s="13" t="s">
        <v>48</v>
      </c>
      <c r="I191" s="13" t="s">
        <v>43</v>
      </c>
      <c r="J191" s="13" t="s">
        <v>44</v>
      </c>
      <c r="K191" s="13" t="s">
        <v>45</v>
      </c>
      <c r="L191" s="16" t="str">
        <f t="shared" si="6"/>
        <v>Feb</v>
      </c>
      <c r="M191" s="17" t="str">
        <f t="shared" si="7"/>
        <v>Sun</v>
      </c>
      <c r="N191" s="17" t="str">
        <f t="shared" si="8"/>
        <v>Correct</v>
      </c>
    </row>
    <row r="192" spans="1:14" x14ac:dyDescent="0.25">
      <c r="A192" s="13" t="s">
        <v>278</v>
      </c>
      <c r="B192" s="14" t="s">
        <v>163</v>
      </c>
      <c r="C192" s="13" t="s">
        <v>60</v>
      </c>
      <c r="D192" s="13" t="s">
        <v>40</v>
      </c>
      <c r="E192" s="15">
        <v>40</v>
      </c>
      <c r="F192" s="15">
        <v>4</v>
      </c>
      <c r="G192" s="15">
        <v>160</v>
      </c>
      <c r="H192" s="13" t="s">
        <v>28</v>
      </c>
      <c r="I192" s="13" t="s">
        <v>71</v>
      </c>
      <c r="J192" s="13" t="s">
        <v>30</v>
      </c>
      <c r="K192" s="13" t="s">
        <v>25</v>
      </c>
      <c r="L192" s="16" t="str">
        <f t="shared" si="6"/>
        <v>Feb</v>
      </c>
      <c r="M192" s="17" t="str">
        <f t="shared" si="7"/>
        <v>Fri</v>
      </c>
      <c r="N192" s="17" t="str">
        <f t="shared" si="8"/>
        <v>Correct</v>
      </c>
    </row>
    <row r="193" spans="1:14" x14ac:dyDescent="0.25">
      <c r="A193" s="13" t="s">
        <v>279</v>
      </c>
      <c r="B193" s="14" t="s">
        <v>144</v>
      </c>
      <c r="C193" s="13" t="s">
        <v>21</v>
      </c>
      <c r="D193" s="13" t="s">
        <v>22</v>
      </c>
      <c r="E193" s="15">
        <v>100</v>
      </c>
      <c r="F193" s="15">
        <v>3</v>
      </c>
      <c r="G193" s="15">
        <v>300</v>
      </c>
      <c r="H193" s="13" t="s">
        <v>48</v>
      </c>
      <c r="I193" s="13" t="s">
        <v>34</v>
      </c>
      <c r="J193" s="13" t="s">
        <v>65</v>
      </c>
      <c r="K193" s="13" t="s">
        <v>25</v>
      </c>
      <c r="L193" s="16" t="str">
        <f t="shared" si="6"/>
        <v>Mar</v>
      </c>
      <c r="M193" s="17" t="str">
        <f t="shared" si="7"/>
        <v>Mon</v>
      </c>
      <c r="N193" s="17" t="str">
        <f t="shared" si="8"/>
        <v>Correct</v>
      </c>
    </row>
    <row r="194" spans="1:14" x14ac:dyDescent="0.25">
      <c r="A194" s="13" t="s">
        <v>280</v>
      </c>
      <c r="B194" s="14" t="s">
        <v>137</v>
      </c>
      <c r="C194" s="13" t="s">
        <v>55</v>
      </c>
      <c r="D194" s="13" t="s">
        <v>56</v>
      </c>
      <c r="E194" s="15">
        <v>15</v>
      </c>
      <c r="F194" s="15">
        <v>5</v>
      </c>
      <c r="G194" s="15">
        <v>75</v>
      </c>
      <c r="H194" s="13" t="s">
        <v>57</v>
      </c>
      <c r="I194" s="13" t="s">
        <v>94</v>
      </c>
      <c r="J194" s="13" t="s">
        <v>30</v>
      </c>
      <c r="K194" s="13" t="s">
        <v>25</v>
      </c>
      <c r="L194" s="16" t="str">
        <f t="shared" si="6"/>
        <v>Mar</v>
      </c>
      <c r="M194" s="17" t="str">
        <f t="shared" si="7"/>
        <v>Sun</v>
      </c>
      <c r="N194" s="17" t="str">
        <f t="shared" si="8"/>
        <v>Correct</v>
      </c>
    </row>
    <row r="195" spans="1:14" x14ac:dyDescent="0.25">
      <c r="A195" s="13" t="s">
        <v>281</v>
      </c>
      <c r="B195" s="14" t="s">
        <v>70</v>
      </c>
      <c r="C195" s="13" t="s">
        <v>60</v>
      </c>
      <c r="D195" s="13" t="s">
        <v>40</v>
      </c>
      <c r="E195" s="15">
        <v>40</v>
      </c>
      <c r="F195" s="15">
        <v>4</v>
      </c>
      <c r="G195" s="15">
        <v>160</v>
      </c>
      <c r="H195" s="13" t="s">
        <v>28</v>
      </c>
      <c r="I195" s="13" t="s">
        <v>24</v>
      </c>
      <c r="J195" s="13" t="s">
        <v>17</v>
      </c>
      <c r="K195" s="13" t="s">
        <v>18</v>
      </c>
      <c r="L195" s="16" t="str">
        <f t="shared" ref="L195:L251" si="9">TEXT(B195,"MMM")</f>
        <v>Feb</v>
      </c>
      <c r="M195" s="17" t="str">
        <f t="shared" ref="M195:M251" si="10">TEXT(B195,"DDD")</f>
        <v>Thu</v>
      </c>
      <c r="N195" s="17" t="str">
        <f t="shared" ref="N195:N251" si="11">IF(G195=E195*F195,"Correct","Error")</f>
        <v>Correct</v>
      </c>
    </row>
    <row r="196" spans="1:14" x14ac:dyDescent="0.25">
      <c r="A196" s="13" t="s">
        <v>282</v>
      </c>
      <c r="B196" s="14">
        <v>45933</v>
      </c>
      <c r="C196" s="13" t="s">
        <v>47</v>
      </c>
      <c r="D196" s="13" t="s">
        <v>22</v>
      </c>
      <c r="E196" s="15">
        <v>500</v>
      </c>
      <c r="F196" s="15">
        <v>3</v>
      </c>
      <c r="G196" s="15">
        <v>1500</v>
      </c>
      <c r="H196" s="13" t="s">
        <v>33</v>
      </c>
      <c r="I196" s="13" t="s">
        <v>29</v>
      </c>
      <c r="J196" s="13" t="s">
        <v>65</v>
      </c>
      <c r="K196" s="13" t="s">
        <v>18</v>
      </c>
      <c r="L196" s="16" t="str">
        <f t="shared" si="9"/>
        <v>Oct</v>
      </c>
      <c r="M196" s="17" t="str">
        <f t="shared" si="10"/>
        <v>Fri</v>
      </c>
      <c r="N196" s="17" t="str">
        <f t="shared" si="11"/>
        <v>Correct</v>
      </c>
    </row>
    <row r="197" spans="1:14" x14ac:dyDescent="0.25">
      <c r="A197" s="13" t="s">
        <v>283</v>
      </c>
      <c r="B197" s="14">
        <v>45750</v>
      </c>
      <c r="C197" s="13" t="s">
        <v>21</v>
      </c>
      <c r="D197" s="13" t="s">
        <v>22</v>
      </c>
      <c r="E197" s="15">
        <v>100</v>
      </c>
      <c r="F197" s="15">
        <v>5</v>
      </c>
      <c r="G197" s="15">
        <v>500</v>
      </c>
      <c r="H197" s="13" t="s">
        <v>64</v>
      </c>
      <c r="I197" s="13" t="s">
        <v>71</v>
      </c>
      <c r="J197" s="13" t="s">
        <v>17</v>
      </c>
      <c r="K197" s="13" t="s">
        <v>25</v>
      </c>
      <c r="L197" s="16" t="str">
        <f t="shared" si="9"/>
        <v>Apr</v>
      </c>
      <c r="M197" s="17" t="str">
        <f t="shared" si="10"/>
        <v>Thu</v>
      </c>
      <c r="N197" s="17" t="str">
        <f t="shared" si="11"/>
        <v>Correct</v>
      </c>
    </row>
    <row r="198" spans="1:14" x14ac:dyDescent="0.25">
      <c r="A198" s="13" t="s">
        <v>284</v>
      </c>
      <c r="B198" s="14">
        <v>45994</v>
      </c>
      <c r="C198" s="13" t="s">
        <v>13</v>
      </c>
      <c r="D198" s="13" t="s">
        <v>14</v>
      </c>
      <c r="E198" s="15">
        <v>60</v>
      </c>
      <c r="F198" s="15">
        <v>2</v>
      </c>
      <c r="G198" s="15">
        <v>120</v>
      </c>
      <c r="H198" s="13" t="s">
        <v>61</v>
      </c>
      <c r="I198" s="13" t="s">
        <v>29</v>
      </c>
      <c r="J198" s="13" t="s">
        <v>65</v>
      </c>
      <c r="K198" s="13" t="s">
        <v>45</v>
      </c>
      <c r="L198" s="16" t="str">
        <f t="shared" si="9"/>
        <v>Dec</v>
      </c>
      <c r="M198" s="17" t="str">
        <f t="shared" si="10"/>
        <v>Wed</v>
      </c>
      <c r="N198" s="17" t="str">
        <f t="shared" si="11"/>
        <v>Correct</v>
      </c>
    </row>
    <row r="199" spans="1:14" x14ac:dyDescent="0.25">
      <c r="A199" s="13" t="s">
        <v>285</v>
      </c>
      <c r="B199" s="14" t="s">
        <v>70</v>
      </c>
      <c r="C199" s="13" t="s">
        <v>63</v>
      </c>
      <c r="D199" s="13" t="s">
        <v>22</v>
      </c>
      <c r="E199" s="15">
        <v>800</v>
      </c>
      <c r="F199" s="15">
        <v>4</v>
      </c>
      <c r="G199" s="15">
        <v>3200</v>
      </c>
      <c r="H199" s="13" t="s">
        <v>93</v>
      </c>
      <c r="I199" s="13" t="s">
        <v>71</v>
      </c>
      <c r="J199" s="13" t="s">
        <v>30</v>
      </c>
      <c r="K199" s="13" t="s">
        <v>25</v>
      </c>
      <c r="L199" s="16" t="str">
        <f t="shared" si="9"/>
        <v>Feb</v>
      </c>
      <c r="M199" s="17" t="str">
        <f t="shared" si="10"/>
        <v>Thu</v>
      </c>
      <c r="N199" s="17" t="str">
        <f t="shared" si="11"/>
        <v>Correct</v>
      </c>
    </row>
    <row r="200" spans="1:14" x14ac:dyDescent="0.25">
      <c r="A200" s="13" t="s">
        <v>286</v>
      </c>
      <c r="B200" s="14" t="s">
        <v>185</v>
      </c>
      <c r="C200" s="13" t="s">
        <v>47</v>
      </c>
      <c r="D200" s="13" t="s">
        <v>22</v>
      </c>
      <c r="E200" s="15">
        <v>500</v>
      </c>
      <c r="F200" s="15">
        <v>3</v>
      </c>
      <c r="G200" s="15">
        <v>1500</v>
      </c>
      <c r="H200" s="13" t="s">
        <v>82</v>
      </c>
      <c r="I200" s="13" t="s">
        <v>34</v>
      </c>
      <c r="J200" s="13" t="s">
        <v>35</v>
      </c>
      <c r="K200" s="13" t="s">
        <v>45</v>
      </c>
      <c r="L200" s="16" t="str">
        <f t="shared" si="9"/>
        <v>Feb</v>
      </c>
      <c r="M200" s="17" t="str">
        <f t="shared" si="10"/>
        <v>Sat</v>
      </c>
      <c r="N200" s="17" t="str">
        <f t="shared" si="11"/>
        <v>Correct</v>
      </c>
    </row>
    <row r="201" spans="1:14" x14ac:dyDescent="0.25">
      <c r="A201" s="13" t="s">
        <v>287</v>
      </c>
      <c r="B201" s="14">
        <v>45932</v>
      </c>
      <c r="C201" s="13" t="s">
        <v>55</v>
      </c>
      <c r="D201" s="13" t="s">
        <v>56</v>
      </c>
      <c r="E201" s="15">
        <v>15</v>
      </c>
      <c r="F201" s="15">
        <v>2</v>
      </c>
      <c r="G201" s="15">
        <v>30</v>
      </c>
      <c r="H201" s="13" t="s">
        <v>82</v>
      </c>
      <c r="I201" s="13" t="s">
        <v>77</v>
      </c>
      <c r="J201" s="13" t="s">
        <v>17</v>
      </c>
      <c r="K201" s="13" t="s">
        <v>45</v>
      </c>
      <c r="L201" s="16" t="str">
        <f t="shared" si="9"/>
        <v>Oct</v>
      </c>
      <c r="M201" s="17" t="str">
        <f t="shared" si="10"/>
        <v>Thu</v>
      </c>
      <c r="N201" s="17" t="str">
        <f t="shared" si="11"/>
        <v>Correct</v>
      </c>
    </row>
    <row r="202" spans="1:14" x14ac:dyDescent="0.25">
      <c r="A202" s="13" t="s">
        <v>288</v>
      </c>
      <c r="B202" s="14">
        <v>45718</v>
      </c>
      <c r="C202" s="13" t="s">
        <v>55</v>
      </c>
      <c r="D202" s="13" t="s">
        <v>56</v>
      </c>
      <c r="E202" s="15">
        <v>15</v>
      </c>
      <c r="F202" s="15">
        <v>4</v>
      </c>
      <c r="G202" s="15">
        <v>60</v>
      </c>
      <c r="H202" s="13" t="s">
        <v>61</v>
      </c>
      <c r="I202" s="13" t="s">
        <v>24</v>
      </c>
      <c r="J202" s="13" t="s">
        <v>35</v>
      </c>
      <c r="K202" s="13" t="s">
        <v>45</v>
      </c>
      <c r="L202" s="16" t="str">
        <f t="shared" si="9"/>
        <v>Mar</v>
      </c>
      <c r="M202" s="17" t="str">
        <f t="shared" si="10"/>
        <v>Sun</v>
      </c>
      <c r="N202" s="17" t="str">
        <f t="shared" si="11"/>
        <v>Correct</v>
      </c>
    </row>
    <row r="203" spans="1:14" x14ac:dyDescent="0.25">
      <c r="A203" s="13" t="s">
        <v>289</v>
      </c>
      <c r="B203" s="14" t="s">
        <v>290</v>
      </c>
      <c r="C203" s="13" t="s">
        <v>47</v>
      </c>
      <c r="D203" s="13" t="s">
        <v>22</v>
      </c>
      <c r="E203" s="15">
        <v>500</v>
      </c>
      <c r="F203" s="15">
        <v>2</v>
      </c>
      <c r="G203" s="15">
        <v>1000</v>
      </c>
      <c r="H203" s="13" t="s">
        <v>64</v>
      </c>
      <c r="I203" s="13" t="s">
        <v>49</v>
      </c>
      <c r="J203" s="13" t="s">
        <v>35</v>
      </c>
      <c r="K203" s="13" t="s">
        <v>18</v>
      </c>
      <c r="L203" s="16" t="str">
        <f t="shared" si="9"/>
        <v>Feb</v>
      </c>
      <c r="M203" s="17" t="str">
        <f t="shared" si="10"/>
        <v>Fri</v>
      </c>
      <c r="N203" s="17" t="str">
        <f t="shared" si="11"/>
        <v>Correct</v>
      </c>
    </row>
    <row r="204" spans="1:14" x14ac:dyDescent="0.25">
      <c r="A204" s="13" t="s">
        <v>291</v>
      </c>
      <c r="B204" s="14" t="s">
        <v>290</v>
      </c>
      <c r="C204" s="13" t="s">
        <v>74</v>
      </c>
      <c r="D204" s="13" t="s">
        <v>68</v>
      </c>
      <c r="E204" s="15">
        <v>1200</v>
      </c>
      <c r="F204" s="15">
        <v>3</v>
      </c>
      <c r="G204" s="15">
        <v>3600</v>
      </c>
      <c r="H204" s="13" t="s">
        <v>28</v>
      </c>
      <c r="I204" s="13" t="s">
        <v>34</v>
      </c>
      <c r="J204" s="13" t="s">
        <v>17</v>
      </c>
      <c r="K204" s="13" t="s">
        <v>45</v>
      </c>
      <c r="L204" s="16" t="str">
        <f t="shared" si="9"/>
        <v>Feb</v>
      </c>
      <c r="M204" s="17" t="str">
        <f t="shared" si="10"/>
        <v>Fri</v>
      </c>
      <c r="N204" s="17" t="str">
        <f t="shared" si="11"/>
        <v>Correct</v>
      </c>
    </row>
    <row r="205" spans="1:14" x14ac:dyDescent="0.25">
      <c r="A205" s="13" t="s">
        <v>292</v>
      </c>
      <c r="B205" s="14">
        <v>45872</v>
      </c>
      <c r="C205" s="13" t="s">
        <v>13</v>
      </c>
      <c r="D205" s="13" t="s">
        <v>14</v>
      </c>
      <c r="E205" s="15">
        <v>60</v>
      </c>
      <c r="F205" s="15">
        <v>5</v>
      </c>
      <c r="G205" s="15">
        <v>300</v>
      </c>
      <c r="H205" s="13" t="s">
        <v>93</v>
      </c>
      <c r="I205" s="13" t="s">
        <v>49</v>
      </c>
      <c r="J205" s="13" t="s">
        <v>65</v>
      </c>
      <c r="K205" s="13" t="s">
        <v>25</v>
      </c>
      <c r="L205" s="16" t="str">
        <f t="shared" si="9"/>
        <v>Aug</v>
      </c>
      <c r="M205" s="17" t="str">
        <f t="shared" si="10"/>
        <v>Sun</v>
      </c>
      <c r="N205" s="17" t="str">
        <f t="shared" si="11"/>
        <v>Correct</v>
      </c>
    </row>
    <row r="206" spans="1:14" x14ac:dyDescent="0.25">
      <c r="A206" s="13" t="s">
        <v>293</v>
      </c>
      <c r="B206" s="14" t="s">
        <v>200</v>
      </c>
      <c r="C206" s="13" t="s">
        <v>21</v>
      </c>
      <c r="D206" s="13" t="s">
        <v>22</v>
      </c>
      <c r="E206" s="15">
        <v>100</v>
      </c>
      <c r="F206" s="15">
        <v>2</v>
      </c>
      <c r="G206" s="15">
        <v>200</v>
      </c>
      <c r="H206" s="13" t="s">
        <v>57</v>
      </c>
      <c r="I206" s="13" t="s">
        <v>43</v>
      </c>
      <c r="J206" s="13" t="s">
        <v>44</v>
      </c>
      <c r="K206" s="13" t="s">
        <v>45</v>
      </c>
      <c r="L206" s="16" t="str">
        <f t="shared" si="9"/>
        <v>Feb</v>
      </c>
      <c r="M206" s="17" t="str">
        <f t="shared" si="10"/>
        <v>Thu</v>
      </c>
      <c r="N206" s="17" t="str">
        <f t="shared" si="11"/>
        <v>Correct</v>
      </c>
    </row>
    <row r="207" spans="1:14" x14ac:dyDescent="0.25">
      <c r="A207" s="13" t="s">
        <v>294</v>
      </c>
      <c r="B207" s="14">
        <v>45993</v>
      </c>
      <c r="C207" s="13" t="s">
        <v>67</v>
      </c>
      <c r="D207" s="13" t="s">
        <v>68</v>
      </c>
      <c r="E207" s="15">
        <v>600</v>
      </c>
      <c r="F207" s="15">
        <v>5</v>
      </c>
      <c r="G207" s="15">
        <v>3000</v>
      </c>
      <c r="H207" s="13" t="s">
        <v>15</v>
      </c>
      <c r="I207" s="13" t="s">
        <v>49</v>
      </c>
      <c r="J207" s="13" t="s">
        <v>30</v>
      </c>
      <c r="K207" s="13" t="s">
        <v>25</v>
      </c>
      <c r="L207" s="16" t="str">
        <f t="shared" si="9"/>
        <v>Dec</v>
      </c>
      <c r="M207" s="17" t="str">
        <f t="shared" si="10"/>
        <v>Tue</v>
      </c>
      <c r="N207" s="17" t="str">
        <f t="shared" si="11"/>
        <v>Correct</v>
      </c>
    </row>
    <row r="208" spans="1:14" x14ac:dyDescent="0.25">
      <c r="A208" s="13" t="s">
        <v>295</v>
      </c>
      <c r="B208" s="14" t="s">
        <v>197</v>
      </c>
      <c r="C208" s="13" t="s">
        <v>67</v>
      </c>
      <c r="D208" s="13" t="s">
        <v>68</v>
      </c>
      <c r="E208" s="15">
        <v>600</v>
      </c>
      <c r="F208" s="15">
        <v>1</v>
      </c>
      <c r="G208" s="15">
        <v>600</v>
      </c>
      <c r="H208" s="13" t="s">
        <v>28</v>
      </c>
      <c r="I208" s="13" t="s">
        <v>49</v>
      </c>
      <c r="J208" s="13" t="s">
        <v>35</v>
      </c>
      <c r="K208" s="13" t="s">
        <v>45</v>
      </c>
      <c r="L208" s="16" t="str">
        <f t="shared" si="9"/>
        <v>Mar</v>
      </c>
      <c r="M208" s="17" t="str">
        <f t="shared" si="10"/>
        <v>Fri</v>
      </c>
      <c r="N208" s="17" t="str">
        <f t="shared" si="11"/>
        <v>Correct</v>
      </c>
    </row>
    <row r="209" spans="1:14" x14ac:dyDescent="0.25">
      <c r="A209" s="13" t="s">
        <v>296</v>
      </c>
      <c r="B209" s="14">
        <v>45690</v>
      </c>
      <c r="C209" s="13" t="s">
        <v>74</v>
      </c>
      <c r="D209" s="13" t="s">
        <v>68</v>
      </c>
      <c r="E209" s="15">
        <v>1200</v>
      </c>
      <c r="F209" s="15">
        <v>3</v>
      </c>
      <c r="G209" s="15">
        <v>3600</v>
      </c>
      <c r="H209" s="13" t="s">
        <v>28</v>
      </c>
      <c r="I209" s="13" t="s">
        <v>49</v>
      </c>
      <c r="J209" s="13" t="s">
        <v>44</v>
      </c>
      <c r="K209" s="13" t="s">
        <v>45</v>
      </c>
      <c r="L209" s="16" t="str">
        <f t="shared" si="9"/>
        <v>Feb</v>
      </c>
      <c r="M209" s="17" t="str">
        <f t="shared" si="10"/>
        <v>Sun</v>
      </c>
      <c r="N209" s="17" t="str">
        <f t="shared" si="11"/>
        <v>Correct</v>
      </c>
    </row>
    <row r="210" spans="1:14" x14ac:dyDescent="0.25">
      <c r="A210" s="13" t="s">
        <v>297</v>
      </c>
      <c r="B210" s="14" t="s">
        <v>237</v>
      </c>
      <c r="C210" s="13" t="s">
        <v>60</v>
      </c>
      <c r="D210" s="13" t="s">
        <v>40</v>
      </c>
      <c r="E210" s="15">
        <v>40</v>
      </c>
      <c r="F210" s="15">
        <v>5</v>
      </c>
      <c r="G210" s="15">
        <v>200</v>
      </c>
      <c r="H210" s="13" t="s">
        <v>64</v>
      </c>
      <c r="I210" s="13" t="s">
        <v>34</v>
      </c>
      <c r="J210" s="13" t="s">
        <v>44</v>
      </c>
      <c r="K210" s="13" t="s">
        <v>45</v>
      </c>
      <c r="L210" s="16" t="str">
        <f t="shared" si="9"/>
        <v>Mar</v>
      </c>
      <c r="M210" s="17" t="str">
        <f t="shared" si="10"/>
        <v>Sat</v>
      </c>
      <c r="N210" s="17" t="str">
        <f t="shared" si="11"/>
        <v>Correct</v>
      </c>
    </row>
    <row r="211" spans="1:14" x14ac:dyDescent="0.25">
      <c r="A211" s="13" t="s">
        <v>298</v>
      </c>
      <c r="B211" s="14" t="s">
        <v>213</v>
      </c>
      <c r="C211" s="13" t="s">
        <v>63</v>
      </c>
      <c r="D211" s="13" t="s">
        <v>22</v>
      </c>
      <c r="E211" s="15">
        <v>800</v>
      </c>
      <c r="F211" s="15">
        <v>3</v>
      </c>
      <c r="G211" s="15">
        <v>2400</v>
      </c>
      <c r="H211" s="13" t="s">
        <v>93</v>
      </c>
      <c r="I211" s="13" t="s">
        <v>16</v>
      </c>
      <c r="J211" s="13" t="s">
        <v>44</v>
      </c>
      <c r="K211" s="13" t="s">
        <v>45</v>
      </c>
      <c r="L211" s="16" t="str">
        <f t="shared" si="9"/>
        <v>Mar</v>
      </c>
      <c r="M211" s="17" t="str">
        <f t="shared" si="10"/>
        <v>Sun</v>
      </c>
      <c r="N211" s="17" t="str">
        <f t="shared" si="11"/>
        <v>Correct</v>
      </c>
    </row>
    <row r="212" spans="1:14" x14ac:dyDescent="0.25">
      <c r="A212" s="13" t="s">
        <v>299</v>
      </c>
      <c r="B212" s="14" t="s">
        <v>59</v>
      </c>
      <c r="C212" s="13" t="s">
        <v>47</v>
      </c>
      <c r="D212" s="13" t="s">
        <v>22</v>
      </c>
      <c r="E212" s="15">
        <v>500</v>
      </c>
      <c r="F212" s="15">
        <v>1</v>
      </c>
      <c r="G212" s="15">
        <v>500</v>
      </c>
      <c r="H212" s="13" t="s">
        <v>57</v>
      </c>
      <c r="I212" s="13" t="s">
        <v>49</v>
      </c>
      <c r="J212" s="13" t="s">
        <v>65</v>
      </c>
      <c r="K212" s="13" t="s">
        <v>25</v>
      </c>
      <c r="L212" s="16" t="str">
        <f t="shared" si="9"/>
        <v>Mar</v>
      </c>
      <c r="M212" s="17" t="str">
        <f t="shared" si="10"/>
        <v>Thu</v>
      </c>
      <c r="N212" s="17" t="str">
        <f t="shared" si="11"/>
        <v>Correct</v>
      </c>
    </row>
    <row r="213" spans="1:14" x14ac:dyDescent="0.25">
      <c r="A213" s="13" t="s">
        <v>300</v>
      </c>
      <c r="B213" s="14">
        <v>45903</v>
      </c>
      <c r="C213" s="13" t="s">
        <v>39</v>
      </c>
      <c r="D213" s="13" t="s">
        <v>40</v>
      </c>
      <c r="E213" s="15">
        <v>20</v>
      </c>
      <c r="F213" s="15">
        <v>4</v>
      </c>
      <c r="G213" s="15">
        <v>80</v>
      </c>
      <c r="H213" s="13" t="s">
        <v>15</v>
      </c>
      <c r="I213" s="13" t="s">
        <v>43</v>
      </c>
      <c r="J213" s="13" t="s">
        <v>17</v>
      </c>
      <c r="K213" s="13" t="s">
        <v>45</v>
      </c>
      <c r="L213" s="16" t="str">
        <f t="shared" si="9"/>
        <v>Sep</v>
      </c>
      <c r="M213" s="17" t="str">
        <f t="shared" si="10"/>
        <v>Wed</v>
      </c>
      <c r="N213" s="17" t="str">
        <f t="shared" si="11"/>
        <v>Correct</v>
      </c>
    </row>
    <row r="214" spans="1:14" x14ac:dyDescent="0.25">
      <c r="A214" s="13" t="s">
        <v>301</v>
      </c>
      <c r="B214" s="14">
        <v>45810</v>
      </c>
      <c r="C214" s="13" t="s">
        <v>63</v>
      </c>
      <c r="D214" s="13" t="s">
        <v>22</v>
      </c>
      <c r="E214" s="15">
        <v>800</v>
      </c>
      <c r="F214" s="15">
        <v>1</v>
      </c>
      <c r="G214" s="15">
        <v>800</v>
      </c>
      <c r="H214" s="13" t="s">
        <v>93</v>
      </c>
      <c r="I214" s="13" t="s">
        <v>77</v>
      </c>
      <c r="J214" s="13" t="s">
        <v>30</v>
      </c>
      <c r="K214" s="13" t="s">
        <v>18</v>
      </c>
      <c r="L214" s="16" t="str">
        <f t="shared" si="9"/>
        <v>Jun</v>
      </c>
      <c r="M214" s="17" t="str">
        <f t="shared" si="10"/>
        <v>Mon</v>
      </c>
      <c r="N214" s="17" t="str">
        <f t="shared" si="11"/>
        <v>Correct</v>
      </c>
    </row>
    <row r="215" spans="1:14" x14ac:dyDescent="0.25">
      <c r="A215" s="13" t="s">
        <v>302</v>
      </c>
      <c r="B215" s="14" t="s">
        <v>120</v>
      </c>
      <c r="C215" s="13" t="s">
        <v>37</v>
      </c>
      <c r="D215" s="13" t="s">
        <v>22</v>
      </c>
      <c r="E215" s="15">
        <v>150</v>
      </c>
      <c r="F215" s="15">
        <v>5</v>
      </c>
      <c r="G215" s="15">
        <v>750</v>
      </c>
      <c r="H215" s="13" t="s">
        <v>23</v>
      </c>
      <c r="I215" s="13" t="s">
        <v>43</v>
      </c>
      <c r="J215" s="13" t="s">
        <v>17</v>
      </c>
      <c r="K215" s="13" t="s">
        <v>45</v>
      </c>
      <c r="L215" s="16" t="str">
        <f t="shared" si="9"/>
        <v>Feb</v>
      </c>
      <c r="M215" s="17" t="str">
        <f t="shared" si="10"/>
        <v>Tue</v>
      </c>
      <c r="N215" s="17" t="str">
        <f t="shared" si="11"/>
        <v>Correct</v>
      </c>
    </row>
    <row r="216" spans="1:14" x14ac:dyDescent="0.25">
      <c r="A216" s="13" t="s">
        <v>303</v>
      </c>
      <c r="B216" s="14">
        <v>45841</v>
      </c>
      <c r="C216" s="13" t="s">
        <v>13</v>
      </c>
      <c r="D216" s="13" t="s">
        <v>14</v>
      </c>
      <c r="E216" s="15">
        <v>60</v>
      </c>
      <c r="F216" s="15">
        <v>1</v>
      </c>
      <c r="G216" s="15">
        <v>60</v>
      </c>
      <c r="H216" s="13" t="s">
        <v>15</v>
      </c>
      <c r="I216" s="13" t="s">
        <v>43</v>
      </c>
      <c r="J216" s="13" t="s">
        <v>44</v>
      </c>
      <c r="K216" s="13" t="s">
        <v>45</v>
      </c>
      <c r="L216" s="16" t="str">
        <f t="shared" si="9"/>
        <v>Jul</v>
      </c>
      <c r="M216" s="17" t="str">
        <f t="shared" si="10"/>
        <v>Thu</v>
      </c>
      <c r="N216" s="17" t="str">
        <f t="shared" si="11"/>
        <v>Correct</v>
      </c>
    </row>
    <row r="217" spans="1:14" x14ac:dyDescent="0.25">
      <c r="A217" s="13" t="s">
        <v>304</v>
      </c>
      <c r="B217" s="14" t="s">
        <v>106</v>
      </c>
      <c r="C217" s="13" t="s">
        <v>60</v>
      </c>
      <c r="D217" s="13" t="s">
        <v>40</v>
      </c>
      <c r="E217" s="15">
        <v>40</v>
      </c>
      <c r="F217" s="15">
        <v>2</v>
      </c>
      <c r="G217" s="15">
        <v>80</v>
      </c>
      <c r="H217" s="13" t="s">
        <v>82</v>
      </c>
      <c r="I217" s="13" t="s">
        <v>94</v>
      </c>
      <c r="J217" s="13" t="s">
        <v>35</v>
      </c>
      <c r="K217" s="13" t="s">
        <v>45</v>
      </c>
      <c r="L217" s="16" t="str">
        <f t="shared" si="9"/>
        <v>Mar</v>
      </c>
      <c r="M217" s="17" t="str">
        <f t="shared" si="10"/>
        <v>Wed</v>
      </c>
      <c r="N217" s="17" t="str">
        <f t="shared" si="11"/>
        <v>Correct</v>
      </c>
    </row>
    <row r="218" spans="1:14" x14ac:dyDescent="0.25">
      <c r="A218" s="13" t="s">
        <v>305</v>
      </c>
      <c r="B218" s="14" t="s">
        <v>129</v>
      </c>
      <c r="C218" s="13" t="s">
        <v>13</v>
      </c>
      <c r="D218" s="13" t="s">
        <v>14</v>
      </c>
      <c r="E218" s="15">
        <v>60</v>
      </c>
      <c r="F218" s="15">
        <v>2</v>
      </c>
      <c r="G218" s="15">
        <v>120</v>
      </c>
      <c r="H218" s="13" t="s">
        <v>15</v>
      </c>
      <c r="I218" s="13" t="s">
        <v>51</v>
      </c>
      <c r="J218" s="13" t="s">
        <v>65</v>
      </c>
      <c r="K218" s="13" t="s">
        <v>25</v>
      </c>
      <c r="L218" s="16" t="str">
        <f t="shared" si="9"/>
        <v>Mar</v>
      </c>
      <c r="M218" s="17" t="str">
        <f t="shared" si="10"/>
        <v>Wed</v>
      </c>
      <c r="N218" s="17" t="str">
        <f t="shared" si="11"/>
        <v>Correct</v>
      </c>
    </row>
    <row r="219" spans="1:14" x14ac:dyDescent="0.25">
      <c r="A219" s="13" t="s">
        <v>306</v>
      </c>
      <c r="B219" s="14" t="s">
        <v>27</v>
      </c>
      <c r="C219" s="13" t="s">
        <v>21</v>
      </c>
      <c r="D219" s="13" t="s">
        <v>22</v>
      </c>
      <c r="E219" s="15">
        <v>100</v>
      </c>
      <c r="F219" s="15">
        <v>4</v>
      </c>
      <c r="G219" s="15">
        <v>400</v>
      </c>
      <c r="H219" s="13" t="s">
        <v>64</v>
      </c>
      <c r="I219" s="13" t="s">
        <v>16</v>
      </c>
      <c r="J219" s="13" t="s">
        <v>65</v>
      </c>
      <c r="K219" s="13" t="s">
        <v>18</v>
      </c>
      <c r="L219" s="16" t="str">
        <f t="shared" si="9"/>
        <v>Feb</v>
      </c>
      <c r="M219" s="17" t="str">
        <f t="shared" si="10"/>
        <v>Sat</v>
      </c>
      <c r="N219" s="17" t="str">
        <f t="shared" si="11"/>
        <v>Correct</v>
      </c>
    </row>
    <row r="220" spans="1:14" x14ac:dyDescent="0.25">
      <c r="A220" s="13" t="s">
        <v>307</v>
      </c>
      <c r="B220" s="14" t="s">
        <v>54</v>
      </c>
      <c r="C220" s="13" t="s">
        <v>21</v>
      </c>
      <c r="D220" s="13" t="s">
        <v>22</v>
      </c>
      <c r="E220" s="15">
        <v>100</v>
      </c>
      <c r="F220" s="15">
        <v>3</v>
      </c>
      <c r="G220" s="15">
        <v>300</v>
      </c>
      <c r="H220" s="13" t="s">
        <v>57</v>
      </c>
      <c r="I220" s="13" t="s">
        <v>43</v>
      </c>
      <c r="J220" s="13" t="s">
        <v>44</v>
      </c>
      <c r="K220" s="13" t="s">
        <v>18</v>
      </c>
      <c r="L220" s="16" t="str">
        <f t="shared" si="9"/>
        <v>Feb</v>
      </c>
      <c r="M220" s="17" t="str">
        <f t="shared" si="10"/>
        <v>Mon</v>
      </c>
      <c r="N220" s="17" t="str">
        <f t="shared" si="11"/>
        <v>Correct</v>
      </c>
    </row>
    <row r="221" spans="1:14" x14ac:dyDescent="0.25">
      <c r="A221" s="13" t="s">
        <v>308</v>
      </c>
      <c r="B221" s="14">
        <v>45932</v>
      </c>
      <c r="C221" s="13" t="s">
        <v>37</v>
      </c>
      <c r="D221" s="13" t="s">
        <v>22</v>
      </c>
      <c r="E221" s="15">
        <v>150</v>
      </c>
      <c r="F221" s="15">
        <v>3</v>
      </c>
      <c r="G221" s="15">
        <v>450</v>
      </c>
      <c r="H221" s="13" t="s">
        <v>61</v>
      </c>
      <c r="I221" s="13" t="s">
        <v>29</v>
      </c>
      <c r="J221" s="13" t="s">
        <v>17</v>
      </c>
      <c r="K221" s="13" t="s">
        <v>45</v>
      </c>
      <c r="L221" s="16" t="str">
        <f t="shared" si="9"/>
        <v>Oct</v>
      </c>
      <c r="M221" s="17" t="str">
        <f t="shared" si="10"/>
        <v>Thu</v>
      </c>
      <c r="N221" s="17" t="str">
        <f t="shared" si="11"/>
        <v>Correct</v>
      </c>
    </row>
    <row r="222" spans="1:14" x14ac:dyDescent="0.25">
      <c r="A222" s="13" t="s">
        <v>309</v>
      </c>
      <c r="B222" s="14" t="s">
        <v>163</v>
      </c>
      <c r="C222" s="13" t="s">
        <v>67</v>
      </c>
      <c r="D222" s="13" t="s">
        <v>68</v>
      </c>
      <c r="E222" s="15">
        <v>600</v>
      </c>
      <c r="F222" s="15">
        <v>2</v>
      </c>
      <c r="G222" s="15">
        <v>1200</v>
      </c>
      <c r="H222" s="13" t="s">
        <v>23</v>
      </c>
      <c r="I222" s="13" t="s">
        <v>94</v>
      </c>
      <c r="J222" s="13" t="s">
        <v>65</v>
      </c>
      <c r="K222" s="13" t="s">
        <v>18</v>
      </c>
      <c r="L222" s="16" t="str">
        <f t="shared" si="9"/>
        <v>Feb</v>
      </c>
      <c r="M222" s="17" t="str">
        <f t="shared" si="10"/>
        <v>Fri</v>
      </c>
      <c r="N222" s="17" t="str">
        <f t="shared" si="11"/>
        <v>Correct</v>
      </c>
    </row>
    <row r="223" spans="1:14" x14ac:dyDescent="0.25">
      <c r="A223" s="13" t="s">
        <v>310</v>
      </c>
      <c r="B223" s="14" t="s">
        <v>104</v>
      </c>
      <c r="C223" s="13" t="s">
        <v>67</v>
      </c>
      <c r="D223" s="13" t="s">
        <v>68</v>
      </c>
      <c r="E223" s="15">
        <v>600</v>
      </c>
      <c r="F223" s="15">
        <v>2</v>
      </c>
      <c r="G223" s="15">
        <v>1200</v>
      </c>
      <c r="H223" s="13" t="s">
        <v>82</v>
      </c>
      <c r="I223" s="13" t="s">
        <v>71</v>
      </c>
      <c r="J223" s="13" t="s">
        <v>44</v>
      </c>
      <c r="K223" s="13" t="s">
        <v>18</v>
      </c>
      <c r="L223" s="16" t="str">
        <f t="shared" si="9"/>
        <v>Feb</v>
      </c>
      <c r="M223" s="17" t="str">
        <f t="shared" si="10"/>
        <v>Sun</v>
      </c>
      <c r="N223" s="17" t="str">
        <f t="shared" si="11"/>
        <v>Correct</v>
      </c>
    </row>
    <row r="224" spans="1:14" x14ac:dyDescent="0.25">
      <c r="A224" s="13" t="s">
        <v>311</v>
      </c>
      <c r="B224" s="14" t="s">
        <v>87</v>
      </c>
      <c r="C224" s="13" t="s">
        <v>60</v>
      </c>
      <c r="D224" s="13" t="s">
        <v>40</v>
      </c>
      <c r="E224" s="15">
        <v>40</v>
      </c>
      <c r="F224" s="15">
        <v>2</v>
      </c>
      <c r="G224" s="15">
        <v>80</v>
      </c>
      <c r="H224" s="13" t="s">
        <v>57</v>
      </c>
      <c r="I224" s="13" t="s">
        <v>29</v>
      </c>
      <c r="J224" s="13" t="s">
        <v>30</v>
      </c>
      <c r="K224" s="13" t="s">
        <v>18</v>
      </c>
      <c r="L224" s="16" t="str">
        <f t="shared" si="9"/>
        <v>Mar</v>
      </c>
      <c r="M224" s="17" t="str">
        <f t="shared" si="10"/>
        <v>Mon</v>
      </c>
      <c r="N224" s="17" t="str">
        <f t="shared" si="11"/>
        <v>Correct</v>
      </c>
    </row>
    <row r="225" spans="1:14" x14ac:dyDescent="0.25">
      <c r="A225" s="13" t="s">
        <v>312</v>
      </c>
      <c r="B225" s="14" t="s">
        <v>42</v>
      </c>
      <c r="C225" s="13" t="s">
        <v>74</v>
      </c>
      <c r="D225" s="13" t="s">
        <v>68</v>
      </c>
      <c r="E225" s="15">
        <v>1200</v>
      </c>
      <c r="F225" s="15">
        <v>1</v>
      </c>
      <c r="G225" s="15">
        <v>1200</v>
      </c>
      <c r="H225" s="13" t="s">
        <v>93</v>
      </c>
      <c r="I225" s="13" t="s">
        <v>49</v>
      </c>
      <c r="J225" s="13" t="s">
        <v>44</v>
      </c>
      <c r="K225" s="13" t="s">
        <v>45</v>
      </c>
      <c r="L225" s="16" t="str">
        <f t="shared" si="9"/>
        <v>Mar</v>
      </c>
      <c r="M225" s="17" t="str">
        <f t="shared" si="10"/>
        <v>Tue</v>
      </c>
      <c r="N225" s="17" t="str">
        <f t="shared" si="11"/>
        <v>Correct</v>
      </c>
    </row>
    <row r="226" spans="1:14" x14ac:dyDescent="0.25">
      <c r="A226" s="13" t="s">
        <v>313</v>
      </c>
      <c r="B226" s="14">
        <v>45964</v>
      </c>
      <c r="C226" s="13" t="s">
        <v>60</v>
      </c>
      <c r="D226" s="13" t="s">
        <v>40</v>
      </c>
      <c r="E226" s="15">
        <v>40</v>
      </c>
      <c r="F226" s="15">
        <v>1</v>
      </c>
      <c r="G226" s="15">
        <v>40</v>
      </c>
      <c r="H226" s="13" t="s">
        <v>48</v>
      </c>
      <c r="I226" s="13" t="s">
        <v>16</v>
      </c>
      <c r="J226" s="13" t="s">
        <v>65</v>
      </c>
      <c r="K226" s="13" t="s">
        <v>18</v>
      </c>
      <c r="L226" s="16" t="str">
        <f t="shared" si="9"/>
        <v>Nov</v>
      </c>
      <c r="M226" s="17" t="str">
        <f t="shared" si="10"/>
        <v>Mon</v>
      </c>
      <c r="N226" s="17" t="str">
        <f t="shared" si="11"/>
        <v>Correct</v>
      </c>
    </row>
    <row r="227" spans="1:14" x14ac:dyDescent="0.25">
      <c r="A227" s="13" t="s">
        <v>314</v>
      </c>
      <c r="B227" s="14">
        <v>45780</v>
      </c>
      <c r="C227" s="13" t="s">
        <v>13</v>
      </c>
      <c r="D227" s="13" t="s">
        <v>14</v>
      </c>
      <c r="E227" s="15">
        <v>60</v>
      </c>
      <c r="F227" s="15">
        <v>4</v>
      </c>
      <c r="G227" s="15">
        <v>240</v>
      </c>
      <c r="H227" s="13" t="s">
        <v>82</v>
      </c>
      <c r="I227" s="13" t="s">
        <v>94</v>
      </c>
      <c r="J227" s="13" t="s">
        <v>30</v>
      </c>
      <c r="K227" s="13" t="s">
        <v>45</v>
      </c>
      <c r="L227" s="16" t="str">
        <f t="shared" si="9"/>
        <v>May</v>
      </c>
      <c r="M227" s="17" t="str">
        <f t="shared" si="10"/>
        <v>Sat</v>
      </c>
      <c r="N227" s="17" t="str">
        <f t="shared" si="11"/>
        <v>Correct</v>
      </c>
    </row>
    <row r="228" spans="1:14" x14ac:dyDescent="0.25">
      <c r="A228" s="13" t="s">
        <v>315</v>
      </c>
      <c r="B228" s="14">
        <v>45692</v>
      </c>
      <c r="C228" s="13" t="s">
        <v>21</v>
      </c>
      <c r="D228" s="13" t="s">
        <v>22</v>
      </c>
      <c r="E228" s="15">
        <v>100</v>
      </c>
      <c r="F228" s="15">
        <v>5</v>
      </c>
      <c r="G228" s="15">
        <v>500</v>
      </c>
      <c r="H228" s="13" t="s">
        <v>15</v>
      </c>
      <c r="I228" s="13" t="s">
        <v>49</v>
      </c>
      <c r="J228" s="13" t="s">
        <v>30</v>
      </c>
      <c r="K228" s="13" t="s">
        <v>18</v>
      </c>
      <c r="L228" s="16" t="str">
        <f t="shared" si="9"/>
        <v>Feb</v>
      </c>
      <c r="M228" s="17" t="str">
        <f t="shared" si="10"/>
        <v>Tue</v>
      </c>
      <c r="N228" s="17" t="str">
        <f t="shared" si="11"/>
        <v>Correct</v>
      </c>
    </row>
    <row r="229" spans="1:14" x14ac:dyDescent="0.25">
      <c r="A229" s="13" t="s">
        <v>316</v>
      </c>
      <c r="B229" s="14">
        <v>45993</v>
      </c>
      <c r="C229" s="13" t="s">
        <v>13</v>
      </c>
      <c r="D229" s="13" t="s">
        <v>14</v>
      </c>
      <c r="E229" s="15">
        <v>60</v>
      </c>
      <c r="F229" s="15">
        <v>1</v>
      </c>
      <c r="G229" s="15">
        <v>60</v>
      </c>
      <c r="H229" s="13" t="s">
        <v>57</v>
      </c>
      <c r="I229" s="13" t="s">
        <v>24</v>
      </c>
      <c r="J229" s="13" t="s">
        <v>35</v>
      </c>
      <c r="K229" s="13" t="s">
        <v>25</v>
      </c>
      <c r="L229" s="16" t="str">
        <f t="shared" si="9"/>
        <v>Dec</v>
      </c>
      <c r="M229" s="17" t="str">
        <f t="shared" si="10"/>
        <v>Tue</v>
      </c>
      <c r="N229" s="17" t="str">
        <f t="shared" si="11"/>
        <v>Correct</v>
      </c>
    </row>
    <row r="230" spans="1:14" x14ac:dyDescent="0.25">
      <c r="A230" s="13" t="s">
        <v>317</v>
      </c>
      <c r="B230" s="14" t="s">
        <v>197</v>
      </c>
      <c r="C230" s="13" t="s">
        <v>13</v>
      </c>
      <c r="D230" s="13" t="s">
        <v>14</v>
      </c>
      <c r="E230" s="15">
        <v>60</v>
      </c>
      <c r="F230" s="15">
        <v>3</v>
      </c>
      <c r="G230" s="15">
        <v>180</v>
      </c>
      <c r="H230" s="13" t="s">
        <v>15</v>
      </c>
      <c r="I230" s="13" t="s">
        <v>24</v>
      </c>
      <c r="J230" s="13" t="s">
        <v>35</v>
      </c>
      <c r="K230" s="13" t="s">
        <v>25</v>
      </c>
      <c r="L230" s="16" t="str">
        <f t="shared" si="9"/>
        <v>Mar</v>
      </c>
      <c r="M230" s="17" t="str">
        <f t="shared" si="10"/>
        <v>Fri</v>
      </c>
      <c r="N230" s="17" t="str">
        <f t="shared" si="11"/>
        <v>Correct</v>
      </c>
    </row>
    <row r="231" spans="1:14" x14ac:dyDescent="0.25">
      <c r="A231" s="13" t="s">
        <v>318</v>
      </c>
      <c r="B231" s="14" t="s">
        <v>144</v>
      </c>
      <c r="C231" s="13" t="s">
        <v>21</v>
      </c>
      <c r="D231" s="13" t="s">
        <v>22</v>
      </c>
      <c r="E231" s="15">
        <v>100</v>
      </c>
      <c r="F231" s="15">
        <v>4</v>
      </c>
      <c r="G231" s="15">
        <v>400</v>
      </c>
      <c r="H231" s="13" t="s">
        <v>93</v>
      </c>
      <c r="I231" s="13" t="s">
        <v>24</v>
      </c>
      <c r="J231" s="13" t="s">
        <v>30</v>
      </c>
      <c r="K231" s="13" t="s">
        <v>25</v>
      </c>
      <c r="L231" s="16" t="str">
        <f t="shared" si="9"/>
        <v>Mar</v>
      </c>
      <c r="M231" s="17" t="str">
        <f t="shared" si="10"/>
        <v>Mon</v>
      </c>
      <c r="N231" s="17" t="str">
        <f t="shared" si="11"/>
        <v>Correct</v>
      </c>
    </row>
    <row r="232" spans="1:14" x14ac:dyDescent="0.25">
      <c r="A232" s="13" t="s">
        <v>319</v>
      </c>
      <c r="B232" s="14" t="s">
        <v>104</v>
      </c>
      <c r="C232" s="13" t="s">
        <v>63</v>
      </c>
      <c r="D232" s="13" t="s">
        <v>22</v>
      </c>
      <c r="E232" s="15">
        <v>800</v>
      </c>
      <c r="F232" s="15">
        <v>5</v>
      </c>
      <c r="G232" s="15">
        <v>4000</v>
      </c>
      <c r="H232" s="13" t="s">
        <v>93</v>
      </c>
      <c r="I232" s="13" t="s">
        <v>51</v>
      </c>
      <c r="J232" s="13" t="s">
        <v>35</v>
      </c>
      <c r="K232" s="13" t="s">
        <v>18</v>
      </c>
      <c r="L232" s="16" t="str">
        <f t="shared" si="9"/>
        <v>Feb</v>
      </c>
      <c r="M232" s="17" t="str">
        <f t="shared" si="10"/>
        <v>Sun</v>
      </c>
      <c r="N232" s="17" t="str">
        <f t="shared" si="11"/>
        <v>Correct</v>
      </c>
    </row>
    <row r="233" spans="1:14" x14ac:dyDescent="0.25">
      <c r="A233" s="13" t="s">
        <v>320</v>
      </c>
      <c r="B233" s="14" t="s">
        <v>12</v>
      </c>
      <c r="C233" s="13" t="s">
        <v>74</v>
      </c>
      <c r="D233" s="13" t="s">
        <v>68</v>
      </c>
      <c r="E233" s="15">
        <v>1200</v>
      </c>
      <c r="F233" s="15">
        <v>3</v>
      </c>
      <c r="G233" s="15">
        <v>3600</v>
      </c>
      <c r="H233" s="13" t="s">
        <v>15</v>
      </c>
      <c r="I233" s="13" t="s">
        <v>77</v>
      </c>
      <c r="J233" s="13" t="s">
        <v>35</v>
      </c>
      <c r="K233" s="13" t="s">
        <v>45</v>
      </c>
      <c r="L233" s="16" t="str">
        <f t="shared" si="9"/>
        <v>Mar</v>
      </c>
      <c r="M233" s="17" t="str">
        <f t="shared" si="10"/>
        <v>Fri</v>
      </c>
      <c r="N233" s="17" t="str">
        <f t="shared" si="11"/>
        <v>Correct</v>
      </c>
    </row>
    <row r="234" spans="1:14" x14ac:dyDescent="0.25">
      <c r="A234" s="13" t="s">
        <v>321</v>
      </c>
      <c r="B234" s="14" t="s">
        <v>70</v>
      </c>
      <c r="C234" s="13" t="s">
        <v>13</v>
      </c>
      <c r="D234" s="13" t="s">
        <v>14</v>
      </c>
      <c r="E234" s="15">
        <v>60</v>
      </c>
      <c r="F234" s="15">
        <v>1</v>
      </c>
      <c r="G234" s="15">
        <v>60</v>
      </c>
      <c r="H234" s="13" t="s">
        <v>57</v>
      </c>
      <c r="I234" s="13" t="s">
        <v>51</v>
      </c>
      <c r="J234" s="13" t="s">
        <v>44</v>
      </c>
      <c r="K234" s="13" t="s">
        <v>18</v>
      </c>
      <c r="L234" s="16" t="str">
        <f t="shared" si="9"/>
        <v>Feb</v>
      </c>
      <c r="M234" s="17" t="str">
        <f t="shared" si="10"/>
        <v>Thu</v>
      </c>
      <c r="N234" s="17" t="str">
        <f t="shared" si="11"/>
        <v>Correct</v>
      </c>
    </row>
    <row r="235" spans="1:14" x14ac:dyDescent="0.25">
      <c r="A235" s="13" t="s">
        <v>322</v>
      </c>
      <c r="B235" s="14">
        <v>45872</v>
      </c>
      <c r="C235" s="13" t="s">
        <v>55</v>
      </c>
      <c r="D235" s="13" t="s">
        <v>56</v>
      </c>
      <c r="E235" s="15">
        <v>15</v>
      </c>
      <c r="F235" s="15">
        <v>1</v>
      </c>
      <c r="G235" s="15">
        <v>15</v>
      </c>
      <c r="H235" s="13" t="s">
        <v>93</v>
      </c>
      <c r="I235" s="13" t="s">
        <v>49</v>
      </c>
      <c r="J235" s="13" t="s">
        <v>30</v>
      </c>
      <c r="K235" s="13" t="s">
        <v>18</v>
      </c>
      <c r="L235" s="16" t="str">
        <f t="shared" si="9"/>
        <v>Aug</v>
      </c>
      <c r="M235" s="17" t="str">
        <f t="shared" si="10"/>
        <v>Sun</v>
      </c>
      <c r="N235" s="17" t="str">
        <f t="shared" si="11"/>
        <v>Correct</v>
      </c>
    </row>
    <row r="236" spans="1:14" x14ac:dyDescent="0.25">
      <c r="A236" s="13" t="s">
        <v>323</v>
      </c>
      <c r="B236" s="14" t="s">
        <v>213</v>
      </c>
      <c r="C236" s="13" t="s">
        <v>74</v>
      </c>
      <c r="D236" s="13" t="s">
        <v>68</v>
      </c>
      <c r="E236" s="15">
        <v>1200</v>
      </c>
      <c r="F236" s="15">
        <v>1</v>
      </c>
      <c r="G236" s="15">
        <v>1200</v>
      </c>
      <c r="H236" s="13" t="s">
        <v>64</v>
      </c>
      <c r="I236" s="13" t="s">
        <v>34</v>
      </c>
      <c r="J236" s="13" t="s">
        <v>44</v>
      </c>
      <c r="K236" s="13" t="s">
        <v>45</v>
      </c>
      <c r="L236" s="16" t="str">
        <f t="shared" si="9"/>
        <v>Mar</v>
      </c>
      <c r="M236" s="17" t="str">
        <f t="shared" si="10"/>
        <v>Sun</v>
      </c>
      <c r="N236" s="17" t="str">
        <f t="shared" si="11"/>
        <v>Correct</v>
      </c>
    </row>
    <row r="237" spans="1:14" x14ac:dyDescent="0.25">
      <c r="A237" s="13" t="s">
        <v>324</v>
      </c>
      <c r="B237" s="14">
        <v>45780</v>
      </c>
      <c r="C237" s="13" t="s">
        <v>47</v>
      </c>
      <c r="D237" s="13" t="s">
        <v>22</v>
      </c>
      <c r="E237" s="15">
        <v>500</v>
      </c>
      <c r="F237" s="15">
        <v>5</v>
      </c>
      <c r="G237" s="15">
        <v>2500</v>
      </c>
      <c r="H237" s="13" t="s">
        <v>28</v>
      </c>
      <c r="I237" s="13" t="s">
        <v>51</v>
      </c>
      <c r="J237" s="13" t="s">
        <v>44</v>
      </c>
      <c r="K237" s="13" t="s">
        <v>45</v>
      </c>
      <c r="L237" s="16" t="str">
        <f t="shared" si="9"/>
        <v>May</v>
      </c>
      <c r="M237" s="17" t="str">
        <f t="shared" si="10"/>
        <v>Sat</v>
      </c>
      <c r="N237" s="17" t="str">
        <f t="shared" si="11"/>
        <v>Correct</v>
      </c>
    </row>
    <row r="238" spans="1:14" x14ac:dyDescent="0.25">
      <c r="A238" s="13" t="s">
        <v>325</v>
      </c>
      <c r="B238" s="14">
        <v>45963</v>
      </c>
      <c r="C238" s="13" t="s">
        <v>21</v>
      </c>
      <c r="D238" s="13" t="s">
        <v>22</v>
      </c>
      <c r="E238" s="15">
        <v>100</v>
      </c>
      <c r="F238" s="15">
        <v>3</v>
      </c>
      <c r="G238" s="15">
        <v>300</v>
      </c>
      <c r="H238" s="13" t="s">
        <v>61</v>
      </c>
      <c r="I238" s="13" t="s">
        <v>43</v>
      </c>
      <c r="J238" s="13" t="s">
        <v>17</v>
      </c>
      <c r="K238" s="13" t="s">
        <v>18</v>
      </c>
      <c r="L238" s="16" t="str">
        <f t="shared" si="9"/>
        <v>Nov</v>
      </c>
      <c r="M238" s="17" t="str">
        <f t="shared" si="10"/>
        <v>Sun</v>
      </c>
      <c r="N238" s="17" t="str">
        <f t="shared" si="11"/>
        <v>Correct</v>
      </c>
    </row>
    <row r="239" spans="1:14" x14ac:dyDescent="0.25">
      <c r="A239" s="13" t="s">
        <v>326</v>
      </c>
      <c r="B239" s="14" t="s">
        <v>141</v>
      </c>
      <c r="C239" s="13" t="s">
        <v>21</v>
      </c>
      <c r="D239" s="13" t="s">
        <v>22</v>
      </c>
      <c r="E239" s="15">
        <v>100</v>
      </c>
      <c r="F239" s="15">
        <v>1</v>
      </c>
      <c r="G239" s="15">
        <v>100</v>
      </c>
      <c r="H239" s="13" t="s">
        <v>33</v>
      </c>
      <c r="I239" s="13" t="s">
        <v>29</v>
      </c>
      <c r="J239" s="13" t="s">
        <v>44</v>
      </c>
      <c r="K239" s="13" t="s">
        <v>45</v>
      </c>
      <c r="L239" s="16" t="str">
        <f t="shared" si="9"/>
        <v>Mar</v>
      </c>
      <c r="M239" s="17" t="str">
        <f t="shared" si="10"/>
        <v>Sun</v>
      </c>
      <c r="N239" s="17" t="str">
        <f t="shared" si="11"/>
        <v>Correct</v>
      </c>
    </row>
    <row r="240" spans="1:14" x14ac:dyDescent="0.25">
      <c r="A240" s="13" t="s">
        <v>327</v>
      </c>
      <c r="B240" s="14" t="s">
        <v>79</v>
      </c>
      <c r="C240" s="13" t="s">
        <v>37</v>
      </c>
      <c r="D240" s="13" t="s">
        <v>22</v>
      </c>
      <c r="E240" s="15">
        <v>150</v>
      </c>
      <c r="F240" s="15">
        <v>5</v>
      </c>
      <c r="G240" s="15">
        <v>750</v>
      </c>
      <c r="H240" s="13" t="s">
        <v>64</v>
      </c>
      <c r="I240" s="13" t="s">
        <v>43</v>
      </c>
      <c r="J240" s="13" t="s">
        <v>30</v>
      </c>
      <c r="K240" s="13" t="s">
        <v>45</v>
      </c>
      <c r="L240" s="16" t="str">
        <f t="shared" si="9"/>
        <v>Mar</v>
      </c>
      <c r="M240" s="17" t="str">
        <f t="shared" si="10"/>
        <v>Sat</v>
      </c>
      <c r="N240" s="17" t="str">
        <f t="shared" si="11"/>
        <v>Correct</v>
      </c>
    </row>
    <row r="241" spans="1:14" x14ac:dyDescent="0.25">
      <c r="A241" s="13" t="s">
        <v>328</v>
      </c>
      <c r="B241" s="14">
        <v>45902</v>
      </c>
      <c r="C241" s="13" t="s">
        <v>37</v>
      </c>
      <c r="D241" s="13" t="s">
        <v>22</v>
      </c>
      <c r="E241" s="15">
        <v>150</v>
      </c>
      <c r="F241" s="15">
        <v>1</v>
      </c>
      <c r="G241" s="15">
        <v>150</v>
      </c>
      <c r="H241" s="13" t="s">
        <v>28</v>
      </c>
      <c r="I241" s="13" t="s">
        <v>29</v>
      </c>
      <c r="J241" s="13" t="s">
        <v>65</v>
      </c>
      <c r="K241" s="13" t="s">
        <v>25</v>
      </c>
      <c r="L241" s="16" t="str">
        <f t="shared" si="9"/>
        <v>Sep</v>
      </c>
      <c r="M241" s="17" t="str">
        <f t="shared" si="10"/>
        <v>Tue</v>
      </c>
      <c r="N241" s="17" t="str">
        <f t="shared" si="11"/>
        <v>Correct</v>
      </c>
    </row>
    <row r="242" spans="1:14" x14ac:dyDescent="0.25">
      <c r="A242" s="13" t="s">
        <v>329</v>
      </c>
      <c r="B242" s="14" t="s">
        <v>137</v>
      </c>
      <c r="C242" s="13" t="s">
        <v>47</v>
      </c>
      <c r="D242" s="13" t="s">
        <v>22</v>
      </c>
      <c r="E242" s="15">
        <v>500</v>
      </c>
      <c r="F242" s="15">
        <v>4</v>
      </c>
      <c r="G242" s="15">
        <v>2000</v>
      </c>
      <c r="H242" s="13" t="s">
        <v>33</v>
      </c>
      <c r="I242" s="13" t="s">
        <v>16</v>
      </c>
      <c r="J242" s="13" t="s">
        <v>35</v>
      </c>
      <c r="K242" s="13" t="s">
        <v>25</v>
      </c>
      <c r="L242" s="16" t="str">
        <f t="shared" si="9"/>
        <v>Mar</v>
      </c>
      <c r="M242" s="17" t="str">
        <f t="shared" si="10"/>
        <v>Sun</v>
      </c>
      <c r="N242" s="17" t="str">
        <f t="shared" si="11"/>
        <v>Correct</v>
      </c>
    </row>
    <row r="243" spans="1:14" x14ac:dyDescent="0.25">
      <c r="A243" s="13" t="s">
        <v>330</v>
      </c>
      <c r="B243" s="14">
        <v>45872</v>
      </c>
      <c r="C243" s="13" t="s">
        <v>47</v>
      </c>
      <c r="D243" s="13" t="s">
        <v>22</v>
      </c>
      <c r="E243" s="15">
        <v>500</v>
      </c>
      <c r="F243" s="15">
        <v>4</v>
      </c>
      <c r="G243" s="15">
        <v>2000</v>
      </c>
      <c r="H243" s="13" t="s">
        <v>82</v>
      </c>
      <c r="I243" s="13" t="s">
        <v>51</v>
      </c>
      <c r="J243" s="13" t="s">
        <v>65</v>
      </c>
      <c r="K243" s="13" t="s">
        <v>25</v>
      </c>
      <c r="L243" s="16" t="str">
        <f t="shared" si="9"/>
        <v>Aug</v>
      </c>
      <c r="M243" s="17" t="str">
        <f t="shared" si="10"/>
        <v>Sun</v>
      </c>
      <c r="N243" s="17" t="str">
        <f t="shared" si="11"/>
        <v>Correct</v>
      </c>
    </row>
    <row r="244" spans="1:14" x14ac:dyDescent="0.25">
      <c r="A244" s="13" t="s">
        <v>331</v>
      </c>
      <c r="B244" s="14">
        <v>45780</v>
      </c>
      <c r="C244" s="13" t="s">
        <v>13</v>
      </c>
      <c r="D244" s="13" t="s">
        <v>14</v>
      </c>
      <c r="E244" s="15">
        <v>60</v>
      </c>
      <c r="F244" s="15">
        <v>2</v>
      </c>
      <c r="G244" s="15">
        <v>120</v>
      </c>
      <c r="H244" s="13" t="s">
        <v>82</v>
      </c>
      <c r="I244" s="13" t="s">
        <v>43</v>
      </c>
      <c r="J244" s="13" t="s">
        <v>30</v>
      </c>
      <c r="K244" s="13" t="s">
        <v>45</v>
      </c>
      <c r="L244" s="16" t="str">
        <f t="shared" si="9"/>
        <v>May</v>
      </c>
      <c r="M244" s="17" t="str">
        <f t="shared" si="10"/>
        <v>Sat</v>
      </c>
      <c r="N244" s="17" t="str">
        <f t="shared" si="11"/>
        <v>Correct</v>
      </c>
    </row>
    <row r="245" spans="1:14" x14ac:dyDescent="0.25">
      <c r="A245" s="13" t="s">
        <v>332</v>
      </c>
      <c r="B245" s="14">
        <v>45810</v>
      </c>
      <c r="C245" s="13" t="s">
        <v>47</v>
      </c>
      <c r="D245" s="13" t="s">
        <v>22</v>
      </c>
      <c r="E245" s="15">
        <v>500</v>
      </c>
      <c r="F245" s="15">
        <v>4</v>
      </c>
      <c r="G245" s="15">
        <v>2000</v>
      </c>
      <c r="H245" s="13" t="s">
        <v>15</v>
      </c>
      <c r="I245" s="13" t="s">
        <v>43</v>
      </c>
      <c r="J245" s="13" t="s">
        <v>35</v>
      </c>
      <c r="K245" s="13" t="s">
        <v>45</v>
      </c>
      <c r="L245" s="16" t="str">
        <f t="shared" si="9"/>
        <v>Jun</v>
      </c>
      <c r="M245" s="17" t="str">
        <f t="shared" si="10"/>
        <v>Mon</v>
      </c>
      <c r="N245" s="17" t="str">
        <f t="shared" si="11"/>
        <v>Correct</v>
      </c>
    </row>
    <row r="246" spans="1:14" x14ac:dyDescent="0.25">
      <c r="A246" s="13" t="s">
        <v>333</v>
      </c>
      <c r="B246" s="14">
        <v>45749</v>
      </c>
      <c r="C246" s="13" t="s">
        <v>63</v>
      </c>
      <c r="D246" s="13" t="s">
        <v>22</v>
      </c>
      <c r="E246" s="15">
        <v>800</v>
      </c>
      <c r="F246" s="15">
        <v>1</v>
      </c>
      <c r="G246" s="15">
        <v>800</v>
      </c>
      <c r="H246" s="13" t="s">
        <v>61</v>
      </c>
      <c r="I246" s="13" t="s">
        <v>77</v>
      </c>
      <c r="J246" s="13" t="s">
        <v>35</v>
      </c>
      <c r="K246" s="13" t="s">
        <v>18</v>
      </c>
      <c r="L246" s="16" t="str">
        <f t="shared" si="9"/>
        <v>Apr</v>
      </c>
      <c r="M246" s="17" t="str">
        <f t="shared" si="10"/>
        <v>Wed</v>
      </c>
      <c r="N246" s="17" t="str">
        <f t="shared" si="11"/>
        <v>Correct</v>
      </c>
    </row>
    <row r="247" spans="1:14" x14ac:dyDescent="0.25">
      <c r="A247" s="13" t="s">
        <v>334</v>
      </c>
      <c r="B247" s="14" t="s">
        <v>111</v>
      </c>
      <c r="C247" s="13" t="s">
        <v>39</v>
      </c>
      <c r="D247" s="13" t="s">
        <v>40</v>
      </c>
      <c r="E247" s="15">
        <v>20</v>
      </c>
      <c r="F247" s="15">
        <v>2</v>
      </c>
      <c r="G247" s="15">
        <v>40</v>
      </c>
      <c r="H247" s="13" t="s">
        <v>64</v>
      </c>
      <c r="I247" s="13" t="s">
        <v>49</v>
      </c>
      <c r="J247" s="13" t="s">
        <v>17</v>
      </c>
      <c r="K247" s="13" t="s">
        <v>18</v>
      </c>
      <c r="L247" s="16" t="str">
        <f t="shared" si="9"/>
        <v>Mar</v>
      </c>
      <c r="M247" s="17" t="str">
        <f t="shared" si="10"/>
        <v>Mon</v>
      </c>
      <c r="N247" s="17" t="str">
        <f t="shared" si="11"/>
        <v>Correct</v>
      </c>
    </row>
    <row r="248" spans="1:14" x14ac:dyDescent="0.25">
      <c r="A248" s="13" t="s">
        <v>335</v>
      </c>
      <c r="B248" s="14" t="s">
        <v>137</v>
      </c>
      <c r="C248" s="13" t="s">
        <v>60</v>
      </c>
      <c r="D248" s="13" t="s">
        <v>40</v>
      </c>
      <c r="E248" s="15">
        <v>40</v>
      </c>
      <c r="F248" s="15">
        <v>1</v>
      </c>
      <c r="G248" s="15">
        <v>40</v>
      </c>
      <c r="H248" s="13" t="s">
        <v>48</v>
      </c>
      <c r="I248" s="13" t="s">
        <v>34</v>
      </c>
      <c r="J248" s="13" t="s">
        <v>17</v>
      </c>
      <c r="K248" s="13" t="s">
        <v>18</v>
      </c>
      <c r="L248" s="16" t="str">
        <f t="shared" si="9"/>
        <v>Mar</v>
      </c>
      <c r="M248" s="17" t="str">
        <f t="shared" si="10"/>
        <v>Sun</v>
      </c>
      <c r="N248" s="17" t="str">
        <f t="shared" si="11"/>
        <v>Correct</v>
      </c>
    </row>
    <row r="249" spans="1:14" x14ac:dyDescent="0.25">
      <c r="A249" s="13" t="s">
        <v>336</v>
      </c>
      <c r="B249" s="14">
        <v>45780</v>
      </c>
      <c r="C249" s="13" t="s">
        <v>39</v>
      </c>
      <c r="D249" s="13" t="s">
        <v>40</v>
      </c>
      <c r="E249" s="15">
        <v>20</v>
      </c>
      <c r="F249" s="15">
        <v>2</v>
      </c>
      <c r="G249" s="15">
        <v>40</v>
      </c>
      <c r="H249" s="13" t="s">
        <v>82</v>
      </c>
      <c r="I249" s="13" t="s">
        <v>29</v>
      </c>
      <c r="J249" s="13" t="s">
        <v>17</v>
      </c>
      <c r="K249" s="13" t="s">
        <v>18</v>
      </c>
      <c r="L249" s="16" t="str">
        <f t="shared" si="9"/>
        <v>May</v>
      </c>
      <c r="M249" s="17" t="str">
        <f t="shared" si="10"/>
        <v>Sat</v>
      </c>
      <c r="N249" s="17" t="str">
        <f t="shared" si="11"/>
        <v>Correct</v>
      </c>
    </row>
    <row r="250" spans="1:14" x14ac:dyDescent="0.25">
      <c r="A250" s="13" t="s">
        <v>337</v>
      </c>
      <c r="B250" s="14">
        <v>45872</v>
      </c>
      <c r="C250" s="13" t="s">
        <v>37</v>
      </c>
      <c r="D250" s="13" t="s">
        <v>22</v>
      </c>
      <c r="E250" s="15">
        <v>150</v>
      </c>
      <c r="F250" s="15">
        <v>3</v>
      </c>
      <c r="G250" s="15">
        <v>450</v>
      </c>
      <c r="H250" s="13" t="s">
        <v>23</v>
      </c>
      <c r="I250" s="13" t="s">
        <v>16</v>
      </c>
      <c r="J250" s="13" t="s">
        <v>17</v>
      </c>
      <c r="K250" s="13" t="s">
        <v>18</v>
      </c>
      <c r="L250" s="16" t="str">
        <f t="shared" si="9"/>
        <v>Aug</v>
      </c>
      <c r="M250" s="17" t="str">
        <f t="shared" si="10"/>
        <v>Sun</v>
      </c>
      <c r="N250" s="17" t="str">
        <f t="shared" si="11"/>
        <v>Correct</v>
      </c>
    </row>
    <row r="251" spans="1:14" x14ac:dyDescent="0.25">
      <c r="A251" s="13" t="s">
        <v>338</v>
      </c>
      <c r="B251" s="14" t="s">
        <v>32</v>
      </c>
      <c r="C251" s="13" t="s">
        <v>47</v>
      </c>
      <c r="D251" s="13" t="s">
        <v>22</v>
      </c>
      <c r="E251" s="15">
        <v>500</v>
      </c>
      <c r="F251" s="15">
        <v>4</v>
      </c>
      <c r="G251" s="15">
        <v>2000</v>
      </c>
      <c r="H251" s="13" t="s">
        <v>23</v>
      </c>
      <c r="I251" s="13" t="s">
        <v>71</v>
      </c>
      <c r="J251" s="13" t="s">
        <v>30</v>
      </c>
      <c r="K251" s="13" t="s">
        <v>45</v>
      </c>
      <c r="L251" s="16" t="str">
        <f t="shared" si="9"/>
        <v>Feb</v>
      </c>
      <c r="M251" s="17" t="str">
        <f t="shared" si="10"/>
        <v>Wed</v>
      </c>
      <c r="N251" s="17" t="str">
        <f t="shared" si="11"/>
        <v>Correct</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55F89-E3F9-4D99-910D-0A2B9171DA31}">
  <dimension ref="A2:K25"/>
  <sheetViews>
    <sheetView workbookViewId="0">
      <selection activeCell="E7" sqref="E7"/>
    </sheetView>
  </sheetViews>
  <sheetFormatPr defaultRowHeight="13.2" x14ac:dyDescent="0.25"/>
  <cols>
    <col min="1" max="1" width="13.33203125" bestFit="1" customWidth="1"/>
    <col min="2" max="2" width="17.44140625" bestFit="1" customWidth="1"/>
    <col min="4" max="4" width="15.21875" bestFit="1" customWidth="1"/>
    <col min="5" max="5" width="17.44140625" bestFit="1" customWidth="1"/>
    <col min="7" max="7" width="13.33203125" bestFit="1" customWidth="1"/>
    <col min="8" max="8" width="17.44140625" bestFit="1" customWidth="1"/>
    <col min="10" max="10" width="13.33203125" bestFit="1" customWidth="1"/>
    <col min="11" max="12" width="16.6640625" bestFit="1" customWidth="1"/>
  </cols>
  <sheetData>
    <row r="2" spans="1:11" ht="13.8" x14ac:dyDescent="0.25">
      <c r="A2" s="3"/>
      <c r="D2" s="6" t="s">
        <v>345</v>
      </c>
      <c r="G2" s="6" t="s">
        <v>347</v>
      </c>
      <c r="J2" s="8" t="s">
        <v>350</v>
      </c>
    </row>
    <row r="3" spans="1:11" x14ac:dyDescent="0.25">
      <c r="D3" s="4" t="s">
        <v>342</v>
      </c>
      <c r="E3" t="s">
        <v>344</v>
      </c>
      <c r="G3" s="4" t="s">
        <v>342</v>
      </c>
      <c r="H3" t="s">
        <v>344</v>
      </c>
      <c r="J3" s="4" t="s">
        <v>342</v>
      </c>
      <c r="K3" t="s">
        <v>344</v>
      </c>
    </row>
    <row r="4" spans="1:11" x14ac:dyDescent="0.25">
      <c r="D4" s="5" t="s">
        <v>74</v>
      </c>
      <c r="E4" s="1">
        <v>78000</v>
      </c>
      <c r="G4" s="5" t="s">
        <v>49</v>
      </c>
      <c r="H4" s="1">
        <v>31700</v>
      </c>
      <c r="J4" s="5" t="s">
        <v>33</v>
      </c>
      <c r="K4" s="1">
        <v>36170</v>
      </c>
    </row>
    <row r="5" spans="1:11" x14ac:dyDescent="0.25">
      <c r="D5" s="5" t="s">
        <v>63</v>
      </c>
      <c r="E5" s="1">
        <v>58400</v>
      </c>
      <c r="G5" s="5" t="s">
        <v>29</v>
      </c>
      <c r="H5" s="1">
        <v>29785</v>
      </c>
      <c r="J5" s="5" t="s">
        <v>93</v>
      </c>
      <c r="K5" s="1">
        <v>31185</v>
      </c>
    </row>
    <row r="6" spans="1:11" x14ac:dyDescent="0.25">
      <c r="D6" s="5" t="s">
        <v>47</v>
      </c>
      <c r="E6" s="1">
        <v>48500</v>
      </c>
      <c r="G6" s="5" t="s">
        <v>43</v>
      </c>
      <c r="H6" s="1">
        <v>28390</v>
      </c>
      <c r="J6" s="5" t="s">
        <v>15</v>
      </c>
      <c r="K6" s="1">
        <v>29700</v>
      </c>
    </row>
    <row r="7" spans="1:11" x14ac:dyDescent="0.25">
      <c r="D7" s="5" t="s">
        <v>67</v>
      </c>
      <c r="E7" s="1">
        <v>27000</v>
      </c>
      <c r="G7" s="5" t="s">
        <v>34</v>
      </c>
      <c r="H7" s="1">
        <v>27145</v>
      </c>
      <c r="J7" s="5" t="s">
        <v>28</v>
      </c>
      <c r="K7" s="1">
        <v>26870</v>
      </c>
    </row>
    <row r="8" spans="1:11" x14ac:dyDescent="0.25">
      <c r="D8" s="5" t="s">
        <v>37</v>
      </c>
      <c r="E8" s="1">
        <v>15750</v>
      </c>
      <c r="G8" s="5" t="s">
        <v>71</v>
      </c>
      <c r="H8" s="1">
        <v>26890</v>
      </c>
      <c r="J8" s="5" t="s">
        <v>23</v>
      </c>
      <c r="K8" s="1">
        <v>23475</v>
      </c>
    </row>
    <row r="9" spans="1:11" x14ac:dyDescent="0.25">
      <c r="D9" s="5" t="s">
        <v>21</v>
      </c>
      <c r="E9" s="1">
        <v>7300</v>
      </c>
      <c r="G9" s="5" t="s">
        <v>51</v>
      </c>
      <c r="H9" s="1">
        <v>26170</v>
      </c>
      <c r="J9" s="5" t="s">
        <v>57</v>
      </c>
      <c r="K9" s="1">
        <v>22665</v>
      </c>
    </row>
    <row r="10" spans="1:11" x14ac:dyDescent="0.25">
      <c r="D10" s="5" t="s">
        <v>13</v>
      </c>
      <c r="E10" s="1">
        <v>4320</v>
      </c>
      <c r="G10" s="5" t="s">
        <v>94</v>
      </c>
      <c r="H10" s="1">
        <v>20810</v>
      </c>
      <c r="J10" s="5" t="s">
        <v>61</v>
      </c>
      <c r="K10" s="1">
        <v>22655</v>
      </c>
    </row>
    <row r="11" spans="1:11" x14ac:dyDescent="0.25">
      <c r="D11" s="5" t="s">
        <v>60</v>
      </c>
      <c r="E11" s="1">
        <v>2480</v>
      </c>
      <c r="G11" s="5" t="s">
        <v>16</v>
      </c>
      <c r="H11" s="1">
        <v>18940</v>
      </c>
      <c r="J11" s="5" t="s">
        <v>64</v>
      </c>
      <c r="K11" s="1">
        <v>18945</v>
      </c>
    </row>
    <row r="12" spans="1:11" x14ac:dyDescent="0.25">
      <c r="D12" s="5" t="s">
        <v>39</v>
      </c>
      <c r="E12" s="1">
        <v>1060</v>
      </c>
      <c r="G12" s="5" t="s">
        <v>77</v>
      </c>
      <c r="H12" s="1">
        <v>17820</v>
      </c>
      <c r="J12" s="5" t="s">
        <v>82</v>
      </c>
      <c r="K12" s="1">
        <v>18885</v>
      </c>
    </row>
    <row r="13" spans="1:11" x14ac:dyDescent="0.25">
      <c r="D13" s="5" t="s">
        <v>55</v>
      </c>
      <c r="E13" s="1">
        <v>1035</v>
      </c>
      <c r="G13" s="5" t="s">
        <v>24</v>
      </c>
      <c r="H13" s="1">
        <v>16195</v>
      </c>
      <c r="J13" s="5" t="s">
        <v>48</v>
      </c>
      <c r="K13" s="1">
        <v>13295</v>
      </c>
    </row>
    <row r="14" spans="1:11" x14ac:dyDescent="0.25">
      <c r="D14" s="5" t="s">
        <v>343</v>
      </c>
      <c r="E14" s="1">
        <v>243845</v>
      </c>
      <c r="G14" s="5" t="s">
        <v>343</v>
      </c>
      <c r="H14" s="1">
        <v>243845</v>
      </c>
      <c r="J14" s="5" t="s">
        <v>343</v>
      </c>
      <c r="K14" s="1">
        <v>243845</v>
      </c>
    </row>
    <row r="18" spans="4:11" ht="13.8" x14ac:dyDescent="0.25">
      <c r="D18" s="6" t="s">
        <v>346</v>
      </c>
      <c r="G18" s="7" t="s">
        <v>348</v>
      </c>
      <c r="J18" s="7" t="s">
        <v>349</v>
      </c>
    </row>
    <row r="19" spans="4:11" x14ac:dyDescent="0.25">
      <c r="D19" s="4" t="s">
        <v>342</v>
      </c>
      <c r="E19" t="s">
        <v>344</v>
      </c>
      <c r="G19" s="4" t="s">
        <v>342</v>
      </c>
      <c r="H19" t="s">
        <v>344</v>
      </c>
      <c r="J19" s="4" t="s">
        <v>342</v>
      </c>
      <c r="K19" t="s">
        <v>351</v>
      </c>
    </row>
    <row r="20" spans="4:11" x14ac:dyDescent="0.25">
      <c r="D20" s="5" t="s">
        <v>22</v>
      </c>
      <c r="E20" s="1">
        <v>129950</v>
      </c>
      <c r="G20" s="5" t="s">
        <v>44</v>
      </c>
      <c r="H20" s="1">
        <v>69645</v>
      </c>
      <c r="J20" s="5" t="s">
        <v>18</v>
      </c>
      <c r="K20" s="30">
        <v>77</v>
      </c>
    </row>
    <row r="21" spans="4:11" x14ac:dyDescent="0.25">
      <c r="D21" s="5" t="s">
        <v>68</v>
      </c>
      <c r="E21" s="1">
        <v>105000</v>
      </c>
      <c r="G21" s="5" t="s">
        <v>35</v>
      </c>
      <c r="H21" s="1">
        <v>61595</v>
      </c>
      <c r="J21" s="5" t="s">
        <v>45</v>
      </c>
      <c r="K21" s="30">
        <v>88</v>
      </c>
    </row>
    <row r="22" spans="4:11" x14ac:dyDescent="0.25">
      <c r="D22" s="5" t="s">
        <v>14</v>
      </c>
      <c r="E22" s="1">
        <v>4320</v>
      </c>
      <c r="G22" s="5" t="s">
        <v>65</v>
      </c>
      <c r="H22" s="1">
        <v>47955</v>
      </c>
      <c r="J22" s="5" t="s">
        <v>25</v>
      </c>
      <c r="K22" s="30">
        <v>85</v>
      </c>
    </row>
    <row r="23" spans="4:11" x14ac:dyDescent="0.25">
      <c r="D23" s="5" t="s">
        <v>40</v>
      </c>
      <c r="E23" s="1">
        <v>3540</v>
      </c>
      <c r="G23" s="5" t="s">
        <v>30</v>
      </c>
      <c r="H23" s="1">
        <v>32750</v>
      </c>
      <c r="J23" s="5" t="s">
        <v>343</v>
      </c>
      <c r="K23" s="30">
        <v>250</v>
      </c>
    </row>
    <row r="24" spans="4:11" x14ac:dyDescent="0.25">
      <c r="D24" s="5" t="s">
        <v>56</v>
      </c>
      <c r="E24" s="1">
        <v>1035</v>
      </c>
      <c r="G24" s="5" t="s">
        <v>17</v>
      </c>
      <c r="H24" s="1">
        <v>31900</v>
      </c>
    </row>
    <row r="25" spans="4:11" x14ac:dyDescent="0.25">
      <c r="D25" s="5" t="s">
        <v>343</v>
      </c>
      <c r="E25" s="1">
        <v>243845</v>
      </c>
      <c r="G25" s="5" t="s">
        <v>343</v>
      </c>
      <c r="H25" s="1">
        <v>243845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6AFCB-15CA-46A3-9FEA-2B7C061C26AB}">
  <dimension ref="A1"/>
  <sheetViews>
    <sheetView showGridLines="0" showRowColHeaders="0" tabSelected="1" zoomScale="79" zoomScaleNormal="79" workbookViewId="0">
      <selection activeCell="Z15" sqref="Z15"/>
    </sheetView>
  </sheetViews>
  <sheetFormatPr defaultRowHeight="13.2"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Cleaned_Data</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velagada Dayana</dc:creator>
  <cp:lastModifiedBy>velagada dayana</cp:lastModifiedBy>
  <dcterms:created xsi:type="dcterms:W3CDTF">2026-07-05T10:51:45Z</dcterms:created>
  <dcterms:modified xsi:type="dcterms:W3CDTF">2026-08-09T08:30:27Z</dcterms:modified>
</cp:coreProperties>
</file>